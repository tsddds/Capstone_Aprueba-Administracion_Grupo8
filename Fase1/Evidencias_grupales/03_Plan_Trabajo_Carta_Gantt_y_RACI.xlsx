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sung\Documents\ChatGPT\capston\Todo\ENTREGA_NUEVA_FASE1_APRUEBA_ADMINISTRACION_V2\03_Gestion_Agil\"/>
    </mc:Choice>
  </mc:AlternateContent>
  <xr:revisionPtr revIDLastSave="0" documentId="13_ncr:1_{0E809DA7-B2A6-4F0A-AE94-6B7FD58592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antt" sheetId="1" r:id="rId1"/>
    <sheet name="Plan_Trabajo" sheetId="2" r:id="rId2"/>
    <sheet name="RACI" sheetId="3" r:id="rId3"/>
    <sheet name="Roles" sheetId="4" r:id="rId4"/>
    <sheet name="Calendario" sheetId="5" r:id="rId5"/>
    <sheet name="Control_Scrum_Q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1" l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<sst xmlns="http://schemas.openxmlformats.org/spreadsheetml/2006/main" count="786" uniqueCount="446">
  <si>
    <t>Carta Gantt ejecutiva · Aprueba Administración</t>
  </si>
  <si>
    <t>ID</t>
  </si>
  <si>
    <t>Actividad</t>
  </si>
  <si>
    <t>Línea de trabajo</t>
  </si>
  <si>
    <t>Fase</t>
  </si>
  <si>
    <t>Sprint</t>
  </si>
  <si>
    <t>Inicio</t>
  </si>
  <si>
    <t>Fin</t>
  </si>
  <si>
    <t>Duración (sem.)</t>
  </si>
  <si>
    <t>Predecesora</t>
  </si>
  <si>
    <t>Relación</t>
  </si>
  <si>
    <t>Responsable</t>
  </si>
  <si>
    <t>Entregable</t>
  </si>
  <si>
    <t>Estado</t>
  </si>
  <si>
    <t>P-01</t>
  </si>
  <si>
    <t>Definir visión, interesados, alcance y exclusiones</t>
  </si>
  <si>
    <t>Inicio y alcance</t>
  </si>
  <si>
    <t>F1</t>
  </si>
  <si>
    <t>Sprint 0</t>
  </si>
  <si>
    <t>—</t>
  </si>
  <si>
    <t>Catalina / Tsung-Hao</t>
  </si>
  <si>
    <t>Acta de constitución</t>
  </si>
  <si>
    <t>Documentado / validar</t>
  </si>
  <si>
    <t>P-02</t>
  </si>
  <si>
    <t>Diagnosticar código, API, Firestore y documentación</t>
  </si>
  <si>
    <t>SS</t>
  </si>
  <si>
    <t>Felipe / Equipo</t>
  </si>
  <si>
    <t>Inventario técnico</t>
  </si>
  <si>
    <t>P-03</t>
  </si>
  <si>
    <t>Priorizar requisitos, historias y criterios de aceptación</t>
  </si>
  <si>
    <t>Producto</t>
  </si>
  <si>
    <t>Catalina / Felipe</t>
  </si>
  <si>
    <t>Product Backlog</t>
  </si>
  <si>
    <t>P-04</t>
  </si>
  <si>
    <t>Definir calidad, pruebas y Definition of Done</t>
  </si>
  <si>
    <t>Calidad</t>
  </si>
  <si>
    <t>P-01,P-03</t>
  </si>
  <si>
    <t>Plan QA y DoD</t>
  </si>
  <si>
    <t>P-05</t>
  </si>
  <si>
    <t>Diseñar arquitectura, datos, API y seguridad</t>
  </si>
  <si>
    <t>Arquitectura y datos</t>
  </si>
  <si>
    <t>P-02,P-03</t>
  </si>
  <si>
    <t>Felipe / Tsung-Hao</t>
  </si>
  <si>
    <t>Arquitectura y modelo de datos</t>
  </si>
  <si>
    <t>P-06</t>
  </si>
  <si>
    <t>Diseñar UX, accesibilidad e internacionalización</t>
  </si>
  <si>
    <t>UX y frontend</t>
  </si>
  <si>
    <t>Catalina</t>
  </si>
  <si>
    <t>Prototipo y checklist UX</t>
  </si>
  <si>
    <t>Base existente / validar</t>
  </si>
  <si>
    <t>P-07</t>
  </si>
  <si>
    <t>Configurar repositorio, CI y entornos</t>
  </si>
  <si>
    <t>DevOps</t>
  </si>
  <si>
    <t>P-02,P-04</t>
  </si>
  <si>
    <t>Tsung-Hao / Felipe</t>
  </si>
  <si>
    <t>Pipeline base</t>
  </si>
  <si>
    <t>Planificado</t>
  </si>
  <si>
    <t>H-01</t>
  </si>
  <si>
    <t>Aprobar línea base del proyecto</t>
  </si>
  <si>
    <t>Gobernanza</t>
  </si>
  <si>
    <t>P-03,P-04,P-05,P-06,P-07</t>
  </si>
  <si>
    <t>FF</t>
  </si>
  <si>
    <t>Catalina / Equipo</t>
  </si>
  <si>
    <t>Línea base aprobada</t>
  </si>
  <si>
    <t>Pendiente</t>
  </si>
  <si>
    <t>D-01</t>
  </si>
  <si>
    <t>Completar shell React, navegación, tema e i18n</t>
  </si>
  <si>
    <t>F2</t>
  </si>
  <si>
    <t>Sprint 1</t>
  </si>
  <si>
    <t>FS</t>
  </si>
  <si>
    <t>Build frontend</t>
  </si>
  <si>
    <t>D-02</t>
  </si>
  <si>
    <t>Completar JWT, MFA, RBAC y manejo de errores</t>
  </si>
  <si>
    <t>Backend y seguridad</t>
  </si>
  <si>
    <t>Sprint 1-2</t>
  </si>
  <si>
    <t>Tsung-Hao</t>
  </si>
  <si>
    <t>Módulo de autenticación</t>
  </si>
  <si>
    <t>D-03</t>
  </si>
  <si>
    <t>Completar Firestore, reglas, seeds y auditoría</t>
  </si>
  <si>
    <t>Persistencia y auditLog</t>
  </si>
  <si>
    <t>H-02</t>
  </si>
  <si>
    <t>Validar MVP interno</t>
  </si>
  <si>
    <t>Sprint 2</t>
  </si>
  <si>
    <t>D-01,D-02,D-03</t>
  </si>
  <si>
    <t>Equipo / Catalina</t>
  </si>
  <si>
    <t>MVP aprobado</t>
  </si>
  <si>
    <t>D-04</t>
  </si>
  <si>
    <t>Implementar módulos Resumen y Comercial</t>
  </si>
  <si>
    <t>Módulos funcionales</t>
  </si>
  <si>
    <t>SS + 2 sem.</t>
  </si>
  <si>
    <t>Incremento Resumen-Comercial</t>
  </si>
  <si>
    <t>D-05</t>
  </si>
  <si>
    <t>Implementar Sponsors, Planes y Productos</t>
  </si>
  <si>
    <t>Sprint 2-3</t>
  </si>
  <si>
    <t>SS + 1 sem.</t>
  </si>
  <si>
    <t>Incremento comercial</t>
  </si>
  <si>
    <t>D-06</t>
  </si>
  <si>
    <t>Implementar Operativa y monitoreo de servicios</t>
  </si>
  <si>
    <t>Sprint 3-4</t>
  </si>
  <si>
    <t>D-02,D-03</t>
  </si>
  <si>
    <t>Incremento Operativa</t>
  </si>
  <si>
    <t>D-07</t>
  </si>
  <si>
    <t>Implementar Usuarios, Tickets y Recorrecciones</t>
  </si>
  <si>
    <t>Incremento Soporte</t>
  </si>
  <si>
    <t>H-03</t>
  </si>
  <si>
    <t>Validar beta funcional</t>
  </si>
  <si>
    <t>Sprint 4</t>
  </si>
  <si>
    <t>D-04,D-05,D-06,D-07</t>
  </si>
  <si>
    <t>Beta aprobada</t>
  </si>
  <si>
    <t>D-08</t>
  </si>
  <si>
    <t>Implementar Tutores y Reseñas</t>
  </si>
  <si>
    <t>Sprint 4-5</t>
  </si>
  <si>
    <t>Incremento Tutores</t>
  </si>
  <si>
    <t>D-09</t>
  </si>
  <si>
    <t>Implementar Contenido e importación de preguntas</t>
  </si>
  <si>
    <t>Incremento Contenido</t>
  </si>
  <si>
    <t>D-10</t>
  </si>
  <si>
    <t>Integrar los ocho módulos administrativos</t>
  </si>
  <si>
    <t>Integración</t>
  </si>
  <si>
    <t>Sprint 3-5</t>
  </si>
  <si>
    <t>Equipo</t>
  </si>
  <si>
    <t>Build integrado</t>
  </si>
  <si>
    <t>D-11</t>
  </si>
  <si>
    <t>Corregir defectos y estabilizar versión</t>
  </si>
  <si>
    <t>Estabilización</t>
  </si>
  <si>
    <t>Sprint 5-Release</t>
  </si>
  <si>
    <t>SS + 3 sem.</t>
  </si>
  <si>
    <t>Build candidato</t>
  </si>
  <si>
    <t>R-01</t>
  </si>
  <si>
    <t>Ejecutar pruebas de aceptación</t>
  </si>
  <si>
    <t>Aceptación</t>
  </si>
  <si>
    <t>Release</t>
  </si>
  <si>
    <t>Acta UAT</t>
  </si>
  <si>
    <t>R-02</t>
  </si>
  <si>
    <t>Completar manuales y runbooks</t>
  </si>
  <si>
    <t>Documentación</t>
  </si>
  <si>
    <t>F2-F3</t>
  </si>
  <si>
    <t>Manuales del proyecto</t>
  </si>
  <si>
    <t>H-04</t>
  </si>
  <si>
    <t>Aprobar Release Candidate</t>
  </si>
  <si>
    <t>D-11,R-01,Q-05</t>
  </si>
  <si>
    <t>Felipe / Catalina</t>
  </si>
  <si>
    <t>Release Candidate</t>
  </si>
  <si>
    <t>R-03</t>
  </si>
  <si>
    <t>Desplegar y verificar rollback</t>
  </si>
  <si>
    <t>Despliegue</t>
  </si>
  <si>
    <t>F3</t>
  </si>
  <si>
    <t>Registro de despliegue</t>
  </si>
  <si>
    <t>H-05</t>
  </si>
  <si>
    <t>Liberar versión productiva</t>
  </si>
  <si>
    <t>Versión productiva</t>
  </si>
  <si>
    <t>R-04</t>
  </si>
  <si>
    <t>Monitorear y estabilizar posdespliegue</t>
  </si>
  <si>
    <t>Operación</t>
  </si>
  <si>
    <t>Transición</t>
  </si>
  <si>
    <t>Informe de estabilización</t>
  </si>
  <si>
    <t>R-05</t>
  </si>
  <si>
    <t>Transferir, capacitar y cerrar proyecto</t>
  </si>
  <si>
    <t>Cierre</t>
  </si>
  <si>
    <t>H-05,R-02</t>
  </si>
  <si>
    <t>Acta de aceptación</t>
  </si>
  <si>
    <t>H-06</t>
  </si>
  <si>
    <t>Aceptar y cerrar proyecto</t>
  </si>
  <si>
    <t>R-04,R-05</t>
  </si>
  <si>
    <t>Sponsor / Catalina</t>
  </si>
  <si>
    <t>Acta final</t>
  </si>
  <si>
    <t>M-01</t>
  </si>
  <si>
    <t>Monitorear alcance, plazo, esfuerzo, riesgos y calidad</t>
  </si>
  <si>
    <t>Gestión y control</t>
  </si>
  <si>
    <t>Transversal</t>
  </si>
  <si>
    <t>Continuo</t>
  </si>
  <si>
    <t>Tablero e informe semanal</t>
  </si>
  <si>
    <t>M-02</t>
  </si>
  <si>
    <t>Ejecutar ceremonias Scrum y métricas de sprint</t>
  </si>
  <si>
    <t>S0-S5</t>
  </si>
  <si>
    <t>Tsung-Hao / Equipo</t>
  </si>
  <si>
    <t>Sprint backlog y actas</t>
  </si>
  <si>
    <t>M-03</t>
  </si>
  <si>
    <t>Gestionar riesgos, cambios, configuración y versiones</t>
  </si>
  <si>
    <t>RAID y registro de cambios</t>
  </si>
  <si>
    <t>Q-01</t>
  </si>
  <si>
    <t>Ejecutar revisión, lint y pruebas unitarias</t>
  </si>
  <si>
    <t>Sprint 1-5</t>
  </si>
  <si>
    <t>P-04,P-07</t>
  </si>
  <si>
    <t>Resultados CI</t>
  </si>
  <si>
    <t>Q-02</t>
  </si>
  <si>
    <t>Verificar seguridad y privacidad por sprint</t>
  </si>
  <si>
    <t>Seguridad y privacidad</t>
  </si>
  <si>
    <t>P-04,P-05</t>
  </si>
  <si>
    <t>Reporte de seguridad</t>
  </si>
  <si>
    <t>Q-03</t>
  </si>
  <si>
    <t>Ejecutar pruebas de integración API-Firestore</t>
  </si>
  <si>
    <t>Sprint 2-5</t>
  </si>
  <si>
    <t>Reporte de integración</t>
  </si>
  <si>
    <t>Q-04</t>
  </si>
  <si>
    <t>Ejecutar regresión, E2E y accesibilidad</t>
  </si>
  <si>
    <t>D-01,Q-01</t>
  </si>
  <si>
    <t>Mixta: FS/SS</t>
  </si>
  <si>
    <t>Reporte de regresión</t>
  </si>
  <si>
    <t>Q-05</t>
  </si>
  <si>
    <t>Validar rendimiento, observabilidad y recuperación</t>
  </si>
  <si>
    <t>Operación y rendimiento</t>
  </si>
  <si>
    <t>Sprint 4-Release</t>
  </si>
  <si>
    <t>Reporte técnico y runbook</t>
  </si>
  <si>
    <t>Plan de trabajo del proyecto</t>
  </si>
  <si>
    <t>Líneas paralelas de ejecución y gobierno para Aprueba Administración</t>
  </si>
  <si>
    <t>Línea</t>
  </si>
  <si>
    <t>Objetivo</t>
  </si>
  <si>
    <t>Ventana</t>
  </si>
  <si>
    <t>Cadencia</t>
  </si>
  <si>
    <t>Líder</t>
  </si>
  <si>
    <t>Apoyo</t>
  </si>
  <si>
    <t>Entregables</t>
  </si>
  <si>
    <t>Indicador de control</t>
  </si>
  <si>
    <t>Dirección y control</t>
  </si>
  <si>
    <t>Gobernar alcance, plazo, esfuerzo, riesgos y decisiones</t>
  </si>
  <si>
    <t>S1-S18</t>
  </si>
  <si>
    <t>Semanal y por evento</t>
  </si>
  <si>
    <t>Tsung-Hao · PM/SM</t>
  </si>
  <si>
    <t>Equipo, PO</t>
  </si>
  <si>
    <t>Tablero, RAID, decisiones, cambios</t>
  </si>
  <si>
    <t>Desviación de sprint, impedimentos y riesgos abiertos</t>
  </si>
  <si>
    <t>Producto y análisis</t>
  </si>
  <si>
    <t>Priorizar valor, requisitos, aceptación y alcance</t>
  </si>
  <si>
    <t>Refinamiento semanal</t>
  </si>
  <si>
    <t>Catalina · PO/BA</t>
  </si>
  <si>
    <t>Equipo, interesados</t>
  </si>
  <si>
    <t>Product Backlog y aceptación</t>
  </si>
  <si>
    <t>Historias preparadas y valor aceptado</t>
  </si>
  <si>
    <t>Mantener arquitectura, Firestore, contratos y decisiones</t>
  </si>
  <si>
    <t>S1-S16</t>
  </si>
  <si>
    <t>Revisión por sprint</t>
  </si>
  <si>
    <t>Felipe · Arquitecto/DBA</t>
  </si>
  <si>
    <t>Backend, seguridad</t>
  </si>
  <si>
    <t>ADR, modelo de datos, reglas</t>
  </si>
  <si>
    <t>Decisiones coherentes y deuda arquitectónica controlada</t>
  </si>
  <si>
    <t>Construir experiencia web, accesibilidad e i18n</t>
  </si>
  <si>
    <t>S2-S15</t>
  </si>
  <si>
    <t>Trabajo por sprint</t>
  </si>
  <si>
    <t>Catalina · UX/Frontend</t>
  </si>
  <si>
    <t>PO, QA</t>
  </si>
  <si>
    <t>SPA React y reportes a11y</t>
  </si>
  <si>
    <t>Criterios de aceptación y regresión visual</t>
  </si>
  <si>
    <t>Completar API, auth, RBAC, MFA y validación</t>
  </si>
  <si>
    <t>S2-S16</t>
  </si>
  <si>
    <t>Tsung-Hao · Backend/Seguridad</t>
  </si>
  <si>
    <t>DBA, QA</t>
  </si>
  <si>
    <t>API, logs y pruebas negativas</t>
  </si>
  <si>
    <t>Autorización, validación y auditoría aprobadas</t>
  </si>
  <si>
    <t>Prevenir defectos y verificar funcionalidad y RNF</t>
  </si>
  <si>
    <t>Cada historia, PR y sprint</t>
  </si>
  <si>
    <t>Felipe · QA Lead</t>
  </si>
  <si>
    <t>Todo el equipo</t>
  </si>
  <si>
    <t>CI, pruebas, defectos y gates</t>
  </si>
  <si>
    <t>DoD por historia; cero críticos en release</t>
  </si>
  <si>
    <t>DevOps y configuración</t>
  </si>
  <si>
    <t>Automatizar build, ambientes, versiones y despliegue</t>
  </si>
  <si>
    <t>S2-S18</t>
  </si>
  <si>
    <t>Continuo y por release</t>
  </si>
  <si>
    <t>Seguridad, QA</t>
  </si>
  <si>
    <t>Pipeline, tags, deployment y rollback</t>
  </si>
  <si>
    <t>Build reproducible y despliegue reversible</t>
  </si>
  <si>
    <t>Documentación y transferencia</t>
  </si>
  <si>
    <t>Mantener evidencia, manuales, runbooks y capacitación</t>
  </si>
  <si>
    <t>Actualización por sprint</t>
  </si>
  <si>
    <t>Catalina · Redacción</t>
  </si>
  <si>
    <t>Manuales y actas</t>
  </si>
  <si>
    <t>Documentación sincronizada con la versión</t>
  </si>
  <si>
    <t>Matriz RACI profesional</t>
  </si>
  <si>
    <t>R = ejecuta · A = aprueba/responde · C = consultado · I = informado</t>
  </si>
  <si>
    <t>Sponsor</t>
  </si>
  <si>
    <t>PO</t>
  </si>
  <si>
    <t>PM</t>
  </si>
  <si>
    <t>SM</t>
  </si>
  <si>
    <t>BA</t>
  </si>
  <si>
    <t>Arquitecto</t>
  </si>
  <si>
    <t>UX/UI</t>
  </si>
  <si>
    <t>Frontend</t>
  </si>
  <si>
    <t>Backend/API</t>
  </si>
  <si>
    <t>DBA</t>
  </si>
  <si>
    <t>Seguridad</t>
  </si>
  <si>
    <t>DevOps/SRE</t>
  </si>
  <si>
    <t>QA</t>
  </si>
  <si>
    <t>Config</t>
  </si>
  <si>
    <t>Operaciones</t>
  </si>
  <si>
    <t>Docente</t>
  </si>
  <si>
    <t>Felipe</t>
  </si>
  <si>
    <t>Visión, alcance y éxito</t>
  </si>
  <si>
    <t>C</t>
  </si>
  <si>
    <t>A</t>
  </si>
  <si>
    <t>R</t>
  </si>
  <si>
    <t>A/R</t>
  </si>
  <si>
    <t>Backlog y aceptación</t>
  </si>
  <si>
    <t>Monitoreo y control</t>
  </si>
  <si>
    <t>I</t>
  </si>
  <si>
    <t>Riesgos, cambios y configuración</t>
  </si>
  <si>
    <t>UX, frontend e i18n</t>
  </si>
  <si>
    <t>Backend, API y seguridad</t>
  </si>
  <si>
    <t>Incrementos funcionales</t>
  </si>
  <si>
    <t>Calidad y pruebas continuas</t>
  </si>
  <si>
    <t>Release, despliegue y operación</t>
  </si>
  <si>
    <t>Documentación, transferencia y cierre</t>
  </si>
  <si>
    <t>Catálogo de roles del proyecto</t>
  </si>
  <si>
    <t>Rol lógico</t>
  </si>
  <si>
    <t>Asignación</t>
  </si>
  <si>
    <t>Responsabilidad</t>
  </si>
  <si>
    <t>Sponsor / cliente</t>
  </si>
  <si>
    <t>Externo por confirmar</t>
  </si>
  <si>
    <t>Define necesidad, financia o respalda y acepta el resultado final</t>
  </si>
  <si>
    <t>Product Owner</t>
  </si>
  <si>
    <t>Prioriza valor, Product Backlog y aceptación funcional</t>
  </si>
  <si>
    <t>Project Manager / control</t>
  </si>
  <si>
    <t>Controla alcance, plazo, esfuerzo, riesgos, cambios y coordinación</t>
  </si>
  <si>
    <t>Scrum Master</t>
  </si>
  <si>
    <t>Facilita eventos Scrum y elimina impedimentos</t>
  </si>
  <si>
    <t>Analista de negocio</t>
  </si>
  <si>
    <t>Levanta requisitos, reglas y trazabilidad</t>
  </si>
  <si>
    <t>Arquitecto de solución</t>
  </si>
  <si>
    <t>Diseña arquitectura, integra decisiones y controla deuda técnica</t>
  </si>
  <si>
    <t>UX/UI y accesibilidad</t>
  </si>
  <si>
    <t>Diseña experiencia, interacción, accesibilidad e i18n</t>
  </si>
  <si>
    <t>Desarrollo frontend</t>
  </si>
  <si>
    <t>Implementa SPA React, navegación, estados y consumo API</t>
  </si>
  <si>
    <t>Desarrollo backend/API</t>
  </si>
  <si>
    <t>Implementa Express, contratos, auth y reglas de negocio</t>
  </si>
  <si>
    <t>Arquitectura de datos / DBA</t>
  </si>
  <si>
    <t>Diseña Firestore, integridad, reglas, seeds y respaldo</t>
  </si>
  <si>
    <t>Amenazas, MFA, RBAC, validación, secretos y auditoría</t>
  </si>
  <si>
    <t>DevOps / SRE</t>
  </si>
  <si>
    <t>CI/CD, ambientes, observabilidad, despliegue y rollback</t>
  </si>
  <si>
    <t>QA / Test Lead</t>
  </si>
  <si>
    <t>Plan de calidad, DoD, automatización, defectos y gates</t>
  </si>
  <si>
    <t>Configuración / Release Manager</t>
  </si>
  <si>
    <t>Baselines, ramas, versionado, release candidate y trazabilidad</t>
  </si>
  <si>
    <t>Redacción técnica</t>
  </si>
  <si>
    <t>Manuales, evidencias, comunicaciones y transferencia</t>
  </si>
  <si>
    <t>Operaciones y soporte</t>
  </si>
  <si>
    <t>Runbooks, monitoreo, incidentes y estabilización</t>
  </si>
  <si>
    <t>Docente evaluador</t>
  </si>
  <si>
    <t>Externo</t>
  </si>
  <si>
    <t>Actor académico consultado o informado; no administra el producto</t>
  </si>
  <si>
    <t>Calendario externo de referencia · Capstone</t>
  </si>
  <si>
    <t>No define las tareas del proyecto; solo fija ventanas y fechas máximas de evaluación académica.</t>
  </si>
  <si>
    <t>Semana</t>
  </si>
  <si>
    <t>Término</t>
  </si>
  <si>
    <t>Hito institucional</t>
  </si>
  <si>
    <t>Definición y autoevaluación</t>
  </si>
  <si>
    <t>Cronograma y tecnologías</t>
  </si>
  <si>
    <t>Desarrollo de definición</t>
  </si>
  <si>
    <t>Presentación Fase 1</t>
  </si>
  <si>
    <t>Inicio Fase 2</t>
  </si>
  <si>
    <t>Actualización según retroalimentación</t>
  </si>
  <si>
    <t>Avance</t>
  </si>
  <si>
    <t>Avance/autoevaluación</t>
  </si>
  <si>
    <t>Formativa avance</t>
  </si>
  <si>
    <t>Evaluación avance</t>
  </si>
  <si>
    <t>Retroalimentación</t>
  </si>
  <si>
    <t>Entrega Fase 2</t>
  </si>
  <si>
    <t>Cierre y Fase 3</t>
  </si>
  <si>
    <t>Presentación final</t>
  </si>
  <si>
    <t>Presentación final/contingencia</t>
  </si>
  <si>
    <t>Gestión, monitoreo y calidad en Scrum</t>
  </si>
  <si>
    <t>Cadencias obligatorias: el control y la calidad no desaparecen; se integran al trabajo de cada sprint.</t>
  </si>
  <si>
    <t>Proceso</t>
  </si>
  <si>
    <t>Qué controla</t>
  </si>
  <si>
    <t>Semanas</t>
  </si>
  <si>
    <t>Indicador</t>
  </si>
  <si>
    <t>Evidencia</t>
  </si>
  <si>
    <t>Daily Scrum</t>
  </si>
  <si>
    <t>Día hábil · 15 min</t>
  </si>
  <si>
    <t>Inspección del avance e impedimentos</t>
  </si>
  <si>
    <t>Bloqueos, trabajo en curso</t>
  </si>
  <si>
    <t>Tablero actualizado</t>
  </si>
  <si>
    <t>Scrum Master / Equipo</t>
  </si>
  <si>
    <t>Sprint Planning</t>
  </si>
  <si>
    <t>Inicio de cada sprint de 2 semanas</t>
  </si>
  <si>
    <t>Objetivo, capacidad y Sprint Backlog</t>
  </si>
  <si>
    <t>S5,S7,S9,S11,S13</t>
  </si>
  <si>
    <t>Carga vs. capacidad</t>
  </si>
  <si>
    <t>Sprint Backlog y objetivo</t>
  </si>
  <si>
    <t>PO / SM / Equipo</t>
  </si>
  <si>
    <t>Refinamiento</t>
  </si>
  <si>
    <t>Semanal</t>
  </si>
  <si>
    <t>Preparar historias, criterios, riesgos y estimaciones</t>
  </si>
  <si>
    <t>S1-S15</t>
  </si>
  <si>
    <t>Historias Ready</t>
  </si>
  <si>
    <t>Backlog refinado</t>
  </si>
  <si>
    <t>PO / BA / Equipo</t>
  </si>
  <si>
    <t>Sprint Review</t>
  </si>
  <si>
    <t>Fin de cada sprint</t>
  </si>
  <si>
    <t>Demostrar incremento y obtener aceptación</t>
  </si>
  <si>
    <t>S6,S8,S10,S12,S14</t>
  </si>
  <si>
    <t>Historias aceptadas</t>
  </si>
  <si>
    <t>Demo y acta de aceptación</t>
  </si>
  <si>
    <t>PO / Equipo</t>
  </si>
  <si>
    <t>Retrospectiva</t>
  </si>
  <si>
    <t>Mejorar proceso, coordinación y calidad</t>
  </si>
  <si>
    <t>Acciones cerradas</t>
  </si>
  <si>
    <t>Acta y acciones de mejora</t>
  </si>
  <si>
    <t>Monitoreo del proyecto</t>
  </si>
  <si>
    <t>Revisar alcance, plazo, esfuerzo, riesgos, calidad y decisiones</t>
  </si>
  <si>
    <t>Avance, desviación, riesgos, defectos</t>
  </si>
  <si>
    <t>Informe semanal y tablero</t>
  </si>
  <si>
    <t>Project Manager</t>
  </si>
  <si>
    <t>Riesgos y cambios</t>
  </si>
  <si>
    <t>Registrar, analizar, aprobar, implementar y verificar</t>
  </si>
  <si>
    <t>Exposición y cambios abiertos</t>
  </si>
  <si>
    <t>PM / Configuración / PO</t>
  </si>
  <si>
    <t>Definition of Done</t>
  </si>
  <si>
    <t>Cada historia y pull request</t>
  </si>
  <si>
    <t>Aplicar aceptación, revisión, pruebas, seguridad y documentación</t>
  </si>
  <si>
    <t>% historias que cumplen DoD</t>
  </si>
  <si>
    <t>Checklist de historia/PR</t>
  </si>
  <si>
    <t>QA Lead / Equipo</t>
  </si>
  <si>
    <t>Pruebas automatizadas</t>
  </si>
  <si>
    <t>Cada commit y pull request</t>
  </si>
  <si>
    <t>Unitarias, integración, lint, SCA y secretos</t>
  </si>
  <si>
    <t>S4-S16</t>
  </si>
  <si>
    <t>Tasa de éxito y cobertura útil</t>
  </si>
  <si>
    <t>Pipeline CI</t>
  </si>
  <si>
    <t>QA / Desarrollo / Seguridad</t>
  </si>
  <si>
    <t>Regresión y accesibilidad</t>
  </si>
  <si>
    <t>Cada sprint</t>
  </si>
  <si>
    <t>E2E, permisos, teclado, foco, contraste e i18n</t>
  </si>
  <si>
    <t>S8-S15</t>
  </si>
  <si>
    <t>Flujos críticos aprobados</t>
  </si>
  <si>
    <t>QA / UX</t>
  </si>
  <si>
    <t>Continuo + gate de release</t>
  </si>
  <si>
    <t>Amenazas, RBAC, MFA, validación, logs y secretos</t>
  </si>
  <si>
    <t>Hallazgos por severidad</t>
  </si>
  <si>
    <t>Checklist ASVS y escaneos</t>
  </si>
  <si>
    <t>Seguridad / QA</t>
  </si>
  <si>
    <t>Gate de fase/release</t>
  </si>
  <si>
    <t>Fin F1, Release Candidate y cierre</t>
  </si>
  <si>
    <t>Validar entregables, riesgos, QA y autorización para avanzar</t>
  </si>
  <si>
    <t>S4,S15,S18</t>
  </si>
  <si>
    <t>Criterios del gate</t>
  </si>
  <si>
    <t>Acta de aprobación</t>
  </si>
  <si>
    <t>PO / QA / PM</t>
  </si>
  <si>
    <t>Monitoreo posdespliegue</t>
  </si>
  <si>
    <t>Diario durante transición</t>
  </si>
  <si>
    <t>Salud, errores, rendimiento, incidentes y recuperación</t>
  </si>
  <si>
    <t>S16-S18</t>
  </si>
  <si>
    <t>Disponibilidad, errores y P95</t>
  </si>
  <si>
    <t>Dashboard y bitácora</t>
  </si>
  <si>
    <t>Operaciones / DevOps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</si>
</sst>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S&quot;0"/>
    <numFmt numFmtId="166" formatCode="dd\-mm\-yyyy"/>
  </numFmts>
  <fonts count="10">
    <font>
      <sz val="11"/>
      <name val="Carlito"/>
    </font>
    <font>
      <sz val="10"/>
      <color rgb="FF1E293B"/>
      <name val="Calibri"/>
    </font>
    <font>
      <b/>
      <sz val="16"/>
      <color rgb="FFFFFFFF"/>
      <name val="Calibri"/>
    </font>
    <font>
      <b/>
      <sz val="10"/>
      <color rgb="FF1A365D"/>
      <name val="Calibri"/>
    </font>
    <font>
      <b/>
      <sz val="16"/>
      <color rgb="FFFFFFFF"/>
      <name val="Carlito"/>
    </font>
    <font>
      <i/>
      <sz val="10"/>
      <color rgb="FF44546A"/>
      <name val="Carlito"/>
    </font>
    <font>
      <b/>
      <sz val="10"/>
      <color rgb="FF17365D"/>
      <name val="Carlito"/>
    </font>
    <font>
      <sz val="9"/>
      <color rgb="FF243447"/>
      <name val="Carlito"/>
    </font>
    <font>
      <b/>
      <sz val="9"/>
      <color rgb="FF17365D"/>
      <name val="Carlito"/>
    </font>
    <font>
      <i/>
      <sz val="10"/>
      <color rgb="FF44546A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E8EEF5"/>
      </patternFill>
    </fill>
    <fill>
      <patternFill patternType="solid">
        <fgColor rgb="FF17365D"/>
      </patternFill>
    </fill>
    <fill>
      <patternFill patternType="solid">
        <fgColor rgb="FFF3F6FA"/>
      </patternFill>
    </fill>
    <fill>
      <patternFill patternType="solid">
        <fgColor rgb="FFDCE6F1"/>
      </patternFill>
    </fill>
    <fill>
      <patternFill patternType="solid">
        <fgColor rgb="FF17365D"/>
      </patternFill>
    </fill>
    <fill>
      <patternFill patternType="solid">
        <fgColor rgb="FFF3F6FA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EDE7F6"/>
      </patternFill>
    </fill>
    <fill>
      <patternFill patternType="solid">
        <fgColor rgb="FF1F4E78"/>
      </patternFill>
    </fill>
    <fill>
      <patternFill patternType="solid">
        <fgColor rgb="FFF4B183"/>
      </patternFill>
    </fill>
    <fill>
      <patternFill patternType="solid">
        <fgColor rgb="FF70AD47"/>
      </patternFill>
    </fill>
  </fills>
  <borders count="7">
    <border>
      <left/>
      <right/>
      <top/>
      <bottom/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0" fontId="4" fillId="3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6" fillId="5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4" fillId="6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6" fillId="8" borderId="4" xfId="0" applyFont="1" applyFill="1" applyBorder="1" applyAlignment="1">
      <alignment horizontal="center" vertical="center" wrapText="1"/>
    </xf>
    <xf numFmtId="165" fontId="6" fillId="8" borderId="4" xfId="0" applyNumberFormat="1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/>
    </xf>
    <xf numFmtId="0" fontId="7" fillId="9" borderId="5" xfId="0" applyFont="1" applyFill="1" applyBorder="1" applyAlignment="1">
      <alignment vertical="center" wrapText="1"/>
    </xf>
    <xf numFmtId="0" fontId="7" fillId="9" borderId="5" xfId="0" applyFont="1" applyFill="1" applyBorder="1" applyAlignment="1">
      <alignment horizontal="center" vertical="center" wrapText="1"/>
    </xf>
    <xf numFmtId="166" fontId="7" fillId="9" borderId="5" xfId="0" applyNumberFormat="1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vertical="center" wrapText="1"/>
    </xf>
    <xf numFmtId="0" fontId="7" fillId="9" borderId="6" xfId="0" applyFont="1" applyFill="1" applyBorder="1" applyAlignment="1">
      <alignment horizontal="center" vertical="center" wrapText="1"/>
    </xf>
    <xf numFmtId="166" fontId="7" fillId="9" borderId="6" xfId="0" applyNumberFormat="1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vertical="center"/>
    </xf>
    <xf numFmtId="0" fontId="7" fillId="10" borderId="5" xfId="0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center" vertical="center" wrapText="1"/>
    </xf>
    <xf numFmtId="0" fontId="7" fillId="11" borderId="6" xfId="0" applyFont="1" applyFill="1" applyBorder="1" applyAlignment="1">
      <alignment horizontal="center" vertical="center"/>
    </xf>
    <xf numFmtId="0" fontId="7" fillId="11" borderId="6" xfId="0" applyFont="1" applyFill="1" applyBorder="1" applyAlignment="1">
      <alignment vertical="center" wrapText="1"/>
    </xf>
    <xf numFmtId="0" fontId="7" fillId="11" borderId="6" xfId="0" applyFont="1" applyFill="1" applyBorder="1" applyAlignment="1">
      <alignment horizontal="center" vertical="center" wrapText="1"/>
    </xf>
    <xf numFmtId="166" fontId="7" fillId="11" borderId="6" xfId="0" applyNumberFormat="1" applyFont="1" applyFill="1" applyBorder="1" applyAlignment="1">
      <alignment horizontal="center" vertical="center" wrapText="1"/>
    </xf>
    <xf numFmtId="0" fontId="7" fillId="11" borderId="6" xfId="0" applyFont="1" applyFill="1" applyBorder="1" applyAlignment="1">
      <alignment vertical="center"/>
    </xf>
    <xf numFmtId="0" fontId="7" fillId="12" borderId="6" xfId="0" applyFont="1" applyFill="1" applyBorder="1" applyAlignment="1">
      <alignment horizontal="center" vertical="center" wrapText="1"/>
    </xf>
    <xf numFmtId="0" fontId="7" fillId="13" borderId="6" xfId="0" applyFont="1" applyFill="1" applyBorder="1" applyAlignment="1">
      <alignment horizontal="center" vertical="center" wrapText="1"/>
    </xf>
    <xf numFmtId="0" fontId="7" fillId="14" borderId="6" xfId="0" applyFont="1" applyFill="1" applyBorder="1" applyAlignment="1">
      <alignment horizontal="center" vertical="center"/>
    </xf>
    <xf numFmtId="0" fontId="7" fillId="14" borderId="6" xfId="0" applyFont="1" applyFill="1" applyBorder="1" applyAlignment="1">
      <alignment vertical="center" wrapText="1"/>
    </xf>
    <xf numFmtId="0" fontId="7" fillId="14" borderId="6" xfId="0" applyFont="1" applyFill="1" applyBorder="1" applyAlignment="1">
      <alignment horizontal="center" vertical="center" wrapText="1"/>
    </xf>
    <xf numFmtId="166" fontId="7" fillId="14" borderId="6" xfId="0" applyNumberFormat="1" applyFont="1" applyFill="1" applyBorder="1" applyAlignment="1">
      <alignment horizontal="center" vertical="center" wrapText="1"/>
    </xf>
    <xf numFmtId="0" fontId="7" fillId="14" borderId="6" xfId="0" applyFont="1" applyFill="1" applyBorder="1" applyAlignment="1">
      <alignment vertical="center"/>
    </xf>
    <xf numFmtId="0" fontId="8" fillId="15" borderId="5" xfId="0" applyFont="1" applyFill="1" applyBorder="1" applyAlignment="1">
      <alignment horizontal="center" vertical="center"/>
    </xf>
    <xf numFmtId="0" fontId="8" fillId="15" borderId="6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7" borderId="6" xfId="0" applyFont="1" applyFill="1" applyBorder="1" applyAlignment="1">
      <alignment horizontal="center" vertical="center"/>
    </xf>
    <xf numFmtId="0" fontId="4" fillId="6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0" fillId="0" borderId="0" xfId="0"/>
    <xf numFmtId="0" fontId="2" fillId="3" borderId="0" xfId="0" applyFont="1" applyFill="1" applyAlignment="1">
      <alignment vertical="center" wrapText="1"/>
    </xf>
    <xf numFmtId="0" fontId="9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0"/>
  <sheetViews>
    <sheetView showGridLines="0" tabSelected="1" workbookViewId="0">
      <selection activeCell="A2" sqref="A2:Z2"/>
    </sheetView>
  </sheetViews>
  <sheetFormatPr baseColWidth="10" defaultColWidth="9" defaultRowHeight="14.25"/>
  <cols>
    <col min="1" max="1" width="9" customWidth="1"/>
    <col min="2" max="2" width="44" customWidth="1"/>
    <col min="3" max="3" width="25" customWidth="1"/>
    <col min="4" max="4" width="12" customWidth="1"/>
    <col min="5" max="5" width="15" customWidth="1"/>
    <col min="6" max="7" width="14" customWidth="1"/>
    <col min="8" max="8" width="11" customWidth="1"/>
    <col min="9" max="9" width="22" customWidth="1"/>
    <col min="10" max="10" width="15" customWidth="1"/>
    <col min="11" max="11" width="24" customWidth="1"/>
    <col min="12" max="12" width="29" customWidth="1"/>
    <col min="13" max="13" width="1.25" customWidth="1"/>
    <col min="14" max="14" width="23" customWidth="1"/>
    <col min="15" max="32" width="4" customWidth="1"/>
  </cols>
  <sheetData>
    <row r="1" spans="1:32" ht="27.95" customHeight="1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15"/>
      <c r="AB1" s="15"/>
      <c r="AC1" s="15"/>
      <c r="AD1" s="15"/>
      <c r="AE1" s="15"/>
      <c r="AF1" s="15"/>
    </row>
    <row r="2" spans="1:32" ht="23.1" customHeight="1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16"/>
      <c r="AB2" s="16"/>
      <c r="AC2" s="16"/>
      <c r="AD2" s="16"/>
      <c r="AE2" s="16"/>
      <c r="AF2" s="16"/>
    </row>
    <row r="3" spans="1:32" ht="24" customHeight="1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  <c r="K3" s="17" t="s">
        <v>11</v>
      </c>
      <c r="L3" s="17" t="s">
        <v>12</v>
      </c>
      <c r="M3" s="17"/>
      <c r="N3" s="17" t="s">
        <v>13</v>
      </c>
      <c r="O3" s="18">
        <v>1</v>
      </c>
      <c r="P3" s="18">
        <v>2</v>
      </c>
      <c r="Q3" s="18">
        <v>3</v>
      </c>
      <c r="R3" s="18">
        <v>4</v>
      </c>
      <c r="S3" s="18">
        <v>5</v>
      </c>
      <c r="T3" s="18">
        <v>6</v>
      </c>
      <c r="U3" s="18">
        <v>7</v>
      </c>
      <c r="V3" s="18">
        <v>8</v>
      </c>
      <c r="W3" s="18">
        <v>9</v>
      </c>
      <c r="X3" s="18">
        <v>10</v>
      </c>
      <c r="Y3" s="18">
        <v>11</v>
      </c>
      <c r="Z3" s="18">
        <v>12</v>
      </c>
      <c r="AA3" s="18">
        <v>13</v>
      </c>
      <c r="AB3" s="18">
        <v>14</v>
      </c>
      <c r="AC3" s="18">
        <v>15</v>
      </c>
      <c r="AD3" s="18">
        <v>16</v>
      </c>
      <c r="AE3" s="18">
        <v>17</v>
      </c>
      <c r="AF3" s="18">
        <v>18</v>
      </c>
    </row>
    <row r="4" spans="1:32" ht="27" customHeight="1">
      <c r="A4" s="19" t="s">
        <v>14</v>
      </c>
      <c r="B4" s="20" t="s">
        <v>15</v>
      </c>
      <c r="C4" s="20" t="s">
        <v>16</v>
      </c>
      <c r="D4" s="29" t="s">
        <v>17</v>
      </c>
      <c r="E4" s="21" t="s">
        <v>18</v>
      </c>
      <c r="F4" s="22">
        <v>46244</v>
      </c>
      <c r="G4" s="22">
        <v>46249</v>
      </c>
      <c r="H4" s="21">
        <f>MATCH($G4,Calendario!$C$4:$C$21,0)-MATCH($F4,Calendario!$B$4:$B$21,0)+1</f>
        <v>1</v>
      </c>
      <c r="I4" s="21"/>
      <c r="J4" s="21" t="s">
        <v>19</v>
      </c>
      <c r="K4" s="20" t="s">
        <v>20</v>
      </c>
      <c r="L4" s="20" t="s">
        <v>21</v>
      </c>
      <c r="M4" s="23"/>
      <c r="N4" s="19" t="s">
        <v>22</v>
      </c>
      <c r="O4" s="4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 spans="1:32" ht="27" customHeight="1">
      <c r="A5" s="24" t="s">
        <v>23</v>
      </c>
      <c r="B5" s="25" t="s">
        <v>24</v>
      </c>
      <c r="C5" s="25" t="s">
        <v>16</v>
      </c>
      <c r="D5" s="30" t="s">
        <v>17</v>
      </c>
      <c r="E5" s="26" t="s">
        <v>18</v>
      </c>
      <c r="F5" s="27">
        <v>46244</v>
      </c>
      <c r="G5" s="27">
        <v>46256</v>
      </c>
      <c r="H5" s="26">
        <f>MATCH($G5,Calendario!$C$4:$C$21,0)-MATCH($F5,Calendario!$B$4:$B$21,0)+1</f>
        <v>2</v>
      </c>
      <c r="I5" s="26" t="s">
        <v>14</v>
      </c>
      <c r="J5" s="26" t="s">
        <v>25</v>
      </c>
      <c r="K5" s="25" t="s">
        <v>26</v>
      </c>
      <c r="L5" s="25" t="s">
        <v>27</v>
      </c>
      <c r="M5" s="28"/>
      <c r="N5" s="24" t="s">
        <v>22</v>
      </c>
      <c r="O5" s="44"/>
      <c r="P5" s="4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</row>
    <row r="6" spans="1:32" ht="27" customHeight="1">
      <c r="A6" s="24" t="s">
        <v>28</v>
      </c>
      <c r="B6" s="25" t="s">
        <v>29</v>
      </c>
      <c r="C6" s="25" t="s">
        <v>30</v>
      </c>
      <c r="D6" s="30" t="s">
        <v>17</v>
      </c>
      <c r="E6" s="26" t="s">
        <v>18</v>
      </c>
      <c r="F6" s="27">
        <v>46244</v>
      </c>
      <c r="G6" s="27">
        <v>46263</v>
      </c>
      <c r="H6" s="26">
        <f>MATCH($G6,Calendario!$C$4:$C$21,0)-MATCH($F6,Calendario!$B$4:$B$21,0)+1</f>
        <v>3</v>
      </c>
      <c r="I6" s="26" t="s">
        <v>14</v>
      </c>
      <c r="J6" s="26" t="s">
        <v>25</v>
      </c>
      <c r="K6" s="25" t="s">
        <v>31</v>
      </c>
      <c r="L6" s="25" t="s">
        <v>32</v>
      </c>
      <c r="M6" s="28"/>
      <c r="N6" s="24" t="s">
        <v>22</v>
      </c>
      <c r="O6" s="44"/>
      <c r="P6" s="44"/>
      <c r="Q6" s="4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</row>
    <row r="7" spans="1:32" ht="27" customHeight="1">
      <c r="A7" s="24" t="s">
        <v>33</v>
      </c>
      <c r="B7" s="25" t="s">
        <v>34</v>
      </c>
      <c r="C7" s="25" t="s">
        <v>35</v>
      </c>
      <c r="D7" s="30" t="s">
        <v>17</v>
      </c>
      <c r="E7" s="26" t="s">
        <v>18</v>
      </c>
      <c r="F7" s="27">
        <v>46244</v>
      </c>
      <c r="G7" s="27">
        <v>46256</v>
      </c>
      <c r="H7" s="26">
        <f>MATCH($G7,Calendario!$C$4:$C$21,0)-MATCH($F7,Calendario!$B$4:$B$21,0)+1</f>
        <v>2</v>
      </c>
      <c r="I7" s="26" t="s">
        <v>36</v>
      </c>
      <c r="J7" s="26" t="s">
        <v>25</v>
      </c>
      <c r="K7" s="25" t="s">
        <v>26</v>
      </c>
      <c r="L7" s="25" t="s">
        <v>37</v>
      </c>
      <c r="M7" s="28"/>
      <c r="N7" s="24" t="s">
        <v>22</v>
      </c>
      <c r="O7" s="44"/>
      <c r="P7" s="4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</row>
    <row r="8" spans="1:32" ht="27" customHeight="1">
      <c r="A8" s="24" t="s">
        <v>38</v>
      </c>
      <c r="B8" s="25" t="s">
        <v>39</v>
      </c>
      <c r="C8" s="25" t="s">
        <v>40</v>
      </c>
      <c r="D8" s="30" t="s">
        <v>17</v>
      </c>
      <c r="E8" s="26" t="s">
        <v>18</v>
      </c>
      <c r="F8" s="27">
        <v>46251</v>
      </c>
      <c r="G8" s="27">
        <v>46270</v>
      </c>
      <c r="H8" s="26">
        <f>MATCH($G8,Calendario!$C$4:$C$21,0)-MATCH($F8,Calendario!$B$4:$B$21,0)+1</f>
        <v>3</v>
      </c>
      <c r="I8" s="26" t="s">
        <v>41</v>
      </c>
      <c r="J8" s="26" t="s">
        <v>25</v>
      </c>
      <c r="K8" s="25" t="s">
        <v>42</v>
      </c>
      <c r="L8" s="25" t="s">
        <v>43</v>
      </c>
      <c r="M8" s="28"/>
      <c r="N8" s="24" t="s">
        <v>22</v>
      </c>
      <c r="O8" s="14"/>
      <c r="P8" s="44"/>
      <c r="Q8" s="44"/>
      <c r="R8" s="4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</row>
    <row r="9" spans="1:32" ht="27" customHeight="1">
      <c r="A9" s="24" t="s">
        <v>44</v>
      </c>
      <c r="B9" s="25" t="s">
        <v>45</v>
      </c>
      <c r="C9" s="25" t="s">
        <v>46</v>
      </c>
      <c r="D9" s="30" t="s">
        <v>17</v>
      </c>
      <c r="E9" s="26" t="s">
        <v>18</v>
      </c>
      <c r="F9" s="27">
        <v>46251</v>
      </c>
      <c r="G9" s="27">
        <v>46270</v>
      </c>
      <c r="H9" s="26">
        <f>MATCH($G9,Calendario!$C$4:$C$21,0)-MATCH($F9,Calendario!$B$4:$B$21,0)+1</f>
        <v>3</v>
      </c>
      <c r="I9" s="26" t="s">
        <v>28</v>
      </c>
      <c r="J9" s="26" t="s">
        <v>25</v>
      </c>
      <c r="K9" s="25" t="s">
        <v>47</v>
      </c>
      <c r="L9" s="25" t="s">
        <v>48</v>
      </c>
      <c r="M9" s="28"/>
      <c r="N9" s="24" t="s">
        <v>49</v>
      </c>
      <c r="O9" s="14"/>
      <c r="P9" s="44"/>
      <c r="Q9" s="44"/>
      <c r="R9" s="4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</row>
    <row r="10" spans="1:32" ht="27" customHeight="1">
      <c r="A10" s="24" t="s">
        <v>50</v>
      </c>
      <c r="B10" s="25" t="s">
        <v>51</v>
      </c>
      <c r="C10" s="25" t="s">
        <v>52</v>
      </c>
      <c r="D10" s="30" t="s">
        <v>17</v>
      </c>
      <c r="E10" s="26" t="s">
        <v>18</v>
      </c>
      <c r="F10" s="27">
        <v>46251</v>
      </c>
      <c r="G10" s="27">
        <v>46270</v>
      </c>
      <c r="H10" s="26">
        <f>MATCH($G10,Calendario!$C$4:$C$21,0)-MATCH($F10,Calendario!$B$4:$B$21,0)+1</f>
        <v>3</v>
      </c>
      <c r="I10" s="26" t="s">
        <v>53</v>
      </c>
      <c r="J10" s="26" t="s">
        <v>25</v>
      </c>
      <c r="K10" s="25" t="s">
        <v>54</v>
      </c>
      <c r="L10" s="25" t="s">
        <v>55</v>
      </c>
      <c r="M10" s="28"/>
      <c r="N10" s="24" t="s">
        <v>56</v>
      </c>
      <c r="O10" s="14"/>
      <c r="P10" s="44"/>
      <c r="Q10" s="44"/>
      <c r="R10" s="4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</row>
    <row r="11" spans="1:32" ht="27" customHeight="1">
      <c r="A11" s="31" t="s">
        <v>57</v>
      </c>
      <c r="B11" s="32" t="s">
        <v>58</v>
      </c>
      <c r="C11" s="32" t="s">
        <v>59</v>
      </c>
      <c r="D11" s="33" t="s">
        <v>17</v>
      </c>
      <c r="E11" s="33" t="s">
        <v>18</v>
      </c>
      <c r="F11" s="34">
        <v>46270</v>
      </c>
      <c r="G11" s="34">
        <v>46270</v>
      </c>
      <c r="H11" s="33">
        <f>0</f>
        <v>0</v>
      </c>
      <c r="I11" s="33" t="s">
        <v>60</v>
      </c>
      <c r="J11" s="33" t="s">
        <v>61</v>
      </c>
      <c r="K11" s="32" t="s">
        <v>62</v>
      </c>
      <c r="L11" s="32" t="s">
        <v>63</v>
      </c>
      <c r="M11" s="35"/>
      <c r="N11" s="31" t="s">
        <v>64</v>
      </c>
      <c r="O11" s="14"/>
      <c r="P11" s="14"/>
      <c r="Q11" s="14"/>
      <c r="R11" s="45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</row>
    <row r="12" spans="1:32" ht="27" customHeight="1">
      <c r="A12" s="24" t="s">
        <v>65</v>
      </c>
      <c r="B12" s="25" t="s">
        <v>66</v>
      </c>
      <c r="C12" s="25" t="s">
        <v>46</v>
      </c>
      <c r="D12" s="36" t="s">
        <v>67</v>
      </c>
      <c r="E12" s="26" t="s">
        <v>68</v>
      </c>
      <c r="F12" s="27">
        <v>46272</v>
      </c>
      <c r="G12" s="27">
        <v>46291</v>
      </c>
      <c r="H12" s="26">
        <f>MATCH($G12,Calendario!$C$4:$C$21,0)-MATCH($F12,Calendario!$B$4:$B$21,0)+1</f>
        <v>3</v>
      </c>
      <c r="I12" s="26" t="s">
        <v>57</v>
      </c>
      <c r="J12" s="26" t="s">
        <v>69</v>
      </c>
      <c r="K12" s="25" t="s">
        <v>47</v>
      </c>
      <c r="L12" s="25" t="s">
        <v>70</v>
      </c>
      <c r="M12" s="28"/>
      <c r="N12" s="24" t="s">
        <v>49</v>
      </c>
      <c r="O12" s="14"/>
      <c r="P12" s="14"/>
      <c r="Q12" s="14"/>
      <c r="R12" s="14"/>
      <c r="S12" s="44"/>
      <c r="T12" s="44"/>
      <c r="U12" s="4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</row>
    <row r="13" spans="1:32" ht="27" customHeight="1">
      <c r="A13" s="24" t="s">
        <v>71</v>
      </c>
      <c r="B13" s="25" t="s">
        <v>72</v>
      </c>
      <c r="C13" s="25" t="s">
        <v>73</v>
      </c>
      <c r="D13" s="36" t="s">
        <v>67</v>
      </c>
      <c r="E13" s="26" t="s">
        <v>74</v>
      </c>
      <c r="F13" s="27">
        <v>46272</v>
      </c>
      <c r="G13" s="27">
        <v>46298</v>
      </c>
      <c r="H13" s="26">
        <f>MATCH($G13,Calendario!$C$4:$C$21,0)-MATCH($F13,Calendario!$B$4:$B$21,0)+1</f>
        <v>4</v>
      </c>
      <c r="I13" s="26" t="s">
        <v>57</v>
      </c>
      <c r="J13" s="26" t="s">
        <v>69</v>
      </c>
      <c r="K13" s="25" t="s">
        <v>75</v>
      </c>
      <c r="L13" s="25" t="s">
        <v>76</v>
      </c>
      <c r="M13" s="28"/>
      <c r="N13" s="24" t="s">
        <v>49</v>
      </c>
      <c r="O13" s="14"/>
      <c r="P13" s="14"/>
      <c r="Q13" s="14"/>
      <c r="R13" s="14"/>
      <c r="S13" s="44"/>
      <c r="T13" s="44"/>
      <c r="U13" s="44"/>
      <c r="V13" s="44"/>
      <c r="W13" s="14"/>
      <c r="X13" s="14"/>
      <c r="Y13" s="14"/>
      <c r="Z13" s="14"/>
      <c r="AA13" s="14"/>
      <c r="AB13" s="14"/>
      <c r="AC13" s="14"/>
      <c r="AD13" s="14"/>
      <c r="AE13" s="14"/>
      <c r="AF13" s="14"/>
    </row>
    <row r="14" spans="1:32" ht="27" customHeight="1">
      <c r="A14" s="24" t="s">
        <v>77</v>
      </c>
      <c r="B14" s="25" t="s">
        <v>78</v>
      </c>
      <c r="C14" s="25" t="s">
        <v>40</v>
      </c>
      <c r="D14" s="36" t="s">
        <v>67</v>
      </c>
      <c r="E14" s="26" t="s">
        <v>74</v>
      </c>
      <c r="F14" s="27">
        <v>46272</v>
      </c>
      <c r="G14" s="27">
        <v>46298</v>
      </c>
      <c r="H14" s="26">
        <f>MATCH($G14,Calendario!$C$4:$C$21,0)-MATCH($F14,Calendario!$B$4:$B$21,0)+1</f>
        <v>4</v>
      </c>
      <c r="I14" s="26" t="s">
        <v>57</v>
      </c>
      <c r="J14" s="26" t="s">
        <v>69</v>
      </c>
      <c r="K14" s="25" t="s">
        <v>42</v>
      </c>
      <c r="L14" s="25" t="s">
        <v>79</v>
      </c>
      <c r="M14" s="28"/>
      <c r="N14" s="24" t="s">
        <v>49</v>
      </c>
      <c r="O14" s="14"/>
      <c r="P14" s="14"/>
      <c r="Q14" s="14"/>
      <c r="R14" s="14"/>
      <c r="S14" s="44"/>
      <c r="T14" s="44"/>
      <c r="U14" s="44"/>
      <c r="V14" s="44"/>
      <c r="W14" s="14"/>
      <c r="X14" s="14"/>
      <c r="Y14" s="14"/>
      <c r="Z14" s="14"/>
      <c r="AA14" s="14"/>
      <c r="AB14" s="14"/>
      <c r="AC14" s="14"/>
      <c r="AD14" s="14"/>
      <c r="AE14" s="14"/>
      <c r="AF14" s="14"/>
    </row>
    <row r="15" spans="1:32" ht="27" customHeight="1">
      <c r="A15" s="31" t="s">
        <v>80</v>
      </c>
      <c r="B15" s="32" t="s">
        <v>81</v>
      </c>
      <c r="C15" s="32" t="s">
        <v>30</v>
      </c>
      <c r="D15" s="33" t="s">
        <v>67</v>
      </c>
      <c r="E15" s="33" t="s">
        <v>82</v>
      </c>
      <c r="F15" s="34">
        <v>46298</v>
      </c>
      <c r="G15" s="34">
        <v>46298</v>
      </c>
      <c r="H15" s="33">
        <f>0</f>
        <v>0</v>
      </c>
      <c r="I15" s="33" t="s">
        <v>83</v>
      </c>
      <c r="J15" s="33" t="s">
        <v>61</v>
      </c>
      <c r="K15" s="32" t="s">
        <v>84</v>
      </c>
      <c r="L15" s="32" t="s">
        <v>85</v>
      </c>
      <c r="M15" s="35"/>
      <c r="N15" s="31" t="s">
        <v>64</v>
      </c>
      <c r="O15" s="14"/>
      <c r="P15" s="14"/>
      <c r="Q15" s="14"/>
      <c r="R15" s="14"/>
      <c r="S15" s="14"/>
      <c r="T15" s="14"/>
      <c r="U15" s="14"/>
      <c r="V15" s="45"/>
      <c r="W15" s="14"/>
      <c r="X15" s="14"/>
      <c r="Y15" s="14"/>
      <c r="Z15" s="14"/>
      <c r="AA15" s="14"/>
      <c r="AB15" s="14"/>
      <c r="AC15" s="14"/>
      <c r="AD15" s="14"/>
      <c r="AE15" s="14"/>
      <c r="AF15" s="14"/>
    </row>
    <row r="16" spans="1:32" ht="27" customHeight="1">
      <c r="A16" s="24" t="s">
        <v>86</v>
      </c>
      <c r="B16" s="25" t="s">
        <v>87</v>
      </c>
      <c r="C16" s="25" t="s">
        <v>88</v>
      </c>
      <c r="D16" s="36" t="s">
        <v>67</v>
      </c>
      <c r="E16" s="26" t="s">
        <v>82</v>
      </c>
      <c r="F16" s="27">
        <v>46286</v>
      </c>
      <c r="G16" s="27">
        <v>46305</v>
      </c>
      <c r="H16" s="26">
        <f>MATCH($G16,Calendario!$C$4:$C$21,0)-MATCH($F16,Calendario!$B$4:$B$21,0)+1</f>
        <v>3</v>
      </c>
      <c r="I16" s="26" t="s">
        <v>65</v>
      </c>
      <c r="J16" s="26" t="s">
        <v>89</v>
      </c>
      <c r="K16" s="25" t="s">
        <v>20</v>
      </c>
      <c r="L16" s="25" t="s">
        <v>90</v>
      </c>
      <c r="M16" s="28"/>
      <c r="N16" s="24" t="s">
        <v>49</v>
      </c>
      <c r="O16" s="14"/>
      <c r="P16" s="14"/>
      <c r="Q16" s="14"/>
      <c r="R16" s="14"/>
      <c r="S16" s="14"/>
      <c r="T16" s="14"/>
      <c r="U16" s="44"/>
      <c r="V16" s="44"/>
      <c r="W16" s="44"/>
      <c r="X16" s="14"/>
      <c r="Y16" s="14"/>
      <c r="Z16" s="14"/>
      <c r="AA16" s="14"/>
      <c r="AB16" s="14"/>
      <c r="AC16" s="14"/>
      <c r="AD16" s="14"/>
      <c r="AE16" s="14"/>
      <c r="AF16" s="14"/>
    </row>
    <row r="17" spans="1:32" ht="27" customHeight="1">
      <c r="A17" s="24" t="s">
        <v>91</v>
      </c>
      <c r="B17" s="25" t="s">
        <v>92</v>
      </c>
      <c r="C17" s="25" t="s">
        <v>88</v>
      </c>
      <c r="D17" s="36" t="s">
        <v>67</v>
      </c>
      <c r="E17" s="26" t="s">
        <v>93</v>
      </c>
      <c r="F17" s="27">
        <v>46293</v>
      </c>
      <c r="G17" s="27">
        <v>46312</v>
      </c>
      <c r="H17" s="26">
        <f>MATCH($G17,Calendario!$C$4:$C$21,0)-MATCH($F17,Calendario!$B$4:$B$21,0)+1</f>
        <v>3</v>
      </c>
      <c r="I17" s="26" t="s">
        <v>86</v>
      </c>
      <c r="J17" s="26" t="s">
        <v>94</v>
      </c>
      <c r="K17" s="25" t="s">
        <v>20</v>
      </c>
      <c r="L17" s="25" t="s">
        <v>95</v>
      </c>
      <c r="M17" s="28"/>
      <c r="N17" s="24" t="s">
        <v>49</v>
      </c>
      <c r="O17" s="14"/>
      <c r="P17" s="14"/>
      <c r="Q17" s="14"/>
      <c r="R17" s="14"/>
      <c r="S17" s="14"/>
      <c r="T17" s="14"/>
      <c r="U17" s="14"/>
      <c r="V17" s="44"/>
      <c r="W17" s="44"/>
      <c r="X17" s="44"/>
      <c r="Y17" s="14"/>
      <c r="Z17" s="14"/>
      <c r="AA17" s="14"/>
      <c r="AB17" s="14"/>
      <c r="AC17" s="14"/>
      <c r="AD17" s="14"/>
      <c r="AE17" s="14"/>
      <c r="AF17" s="14"/>
    </row>
    <row r="18" spans="1:32" ht="27" customHeight="1">
      <c r="A18" s="24" t="s">
        <v>96</v>
      </c>
      <c r="B18" s="25" t="s">
        <v>97</v>
      </c>
      <c r="C18" s="25" t="s">
        <v>88</v>
      </c>
      <c r="D18" s="36" t="s">
        <v>67</v>
      </c>
      <c r="E18" s="26" t="s">
        <v>98</v>
      </c>
      <c r="F18" s="27">
        <v>46300</v>
      </c>
      <c r="G18" s="27">
        <v>46319</v>
      </c>
      <c r="H18" s="26">
        <f>MATCH($G18,Calendario!$C$4:$C$21,0)-MATCH($F18,Calendario!$B$4:$B$21,0)+1</f>
        <v>3</v>
      </c>
      <c r="I18" s="26" t="s">
        <v>99</v>
      </c>
      <c r="J18" s="26" t="s">
        <v>69</v>
      </c>
      <c r="K18" s="25" t="s">
        <v>54</v>
      </c>
      <c r="L18" s="25" t="s">
        <v>100</v>
      </c>
      <c r="M18" s="28"/>
      <c r="N18" s="24" t="s">
        <v>49</v>
      </c>
      <c r="O18" s="14"/>
      <c r="P18" s="14"/>
      <c r="Q18" s="14"/>
      <c r="R18" s="14"/>
      <c r="S18" s="14"/>
      <c r="T18" s="14"/>
      <c r="U18" s="14"/>
      <c r="V18" s="14"/>
      <c r="W18" s="44"/>
      <c r="X18" s="44"/>
      <c r="Y18" s="44"/>
      <c r="Z18" s="14"/>
      <c r="AA18" s="14"/>
      <c r="AB18" s="14"/>
      <c r="AC18" s="14"/>
      <c r="AD18" s="14"/>
      <c r="AE18" s="14"/>
      <c r="AF18" s="14"/>
    </row>
    <row r="19" spans="1:32" ht="27" customHeight="1">
      <c r="A19" s="24" t="s">
        <v>101</v>
      </c>
      <c r="B19" s="25" t="s">
        <v>102</v>
      </c>
      <c r="C19" s="25" t="s">
        <v>88</v>
      </c>
      <c r="D19" s="36" t="s">
        <v>67</v>
      </c>
      <c r="E19" s="26" t="s">
        <v>98</v>
      </c>
      <c r="F19" s="27">
        <v>46307</v>
      </c>
      <c r="G19" s="27">
        <v>46326</v>
      </c>
      <c r="H19" s="26">
        <f>MATCH($G19,Calendario!$C$4:$C$21,0)-MATCH($F19,Calendario!$B$4:$B$21,0)+1</f>
        <v>3</v>
      </c>
      <c r="I19" s="26" t="s">
        <v>96</v>
      </c>
      <c r="J19" s="26" t="s">
        <v>94</v>
      </c>
      <c r="K19" s="25" t="s">
        <v>20</v>
      </c>
      <c r="L19" s="25" t="s">
        <v>103</v>
      </c>
      <c r="M19" s="28"/>
      <c r="N19" s="24" t="s">
        <v>49</v>
      </c>
      <c r="O19" s="14"/>
      <c r="P19" s="14"/>
      <c r="Q19" s="14"/>
      <c r="R19" s="14"/>
      <c r="S19" s="14"/>
      <c r="T19" s="14"/>
      <c r="U19" s="14"/>
      <c r="V19" s="14"/>
      <c r="W19" s="14"/>
      <c r="X19" s="44"/>
      <c r="Y19" s="44"/>
      <c r="Z19" s="44"/>
      <c r="AA19" s="14"/>
      <c r="AB19" s="14"/>
      <c r="AC19" s="14"/>
      <c r="AD19" s="14"/>
      <c r="AE19" s="14"/>
      <c r="AF19" s="14"/>
    </row>
    <row r="20" spans="1:32" ht="27" customHeight="1">
      <c r="A20" s="31" t="s">
        <v>104</v>
      </c>
      <c r="B20" s="32" t="s">
        <v>105</v>
      </c>
      <c r="C20" s="32" t="s">
        <v>30</v>
      </c>
      <c r="D20" s="33" t="s">
        <v>67</v>
      </c>
      <c r="E20" s="33" t="s">
        <v>106</v>
      </c>
      <c r="F20" s="34">
        <v>46326</v>
      </c>
      <c r="G20" s="34">
        <v>46326</v>
      </c>
      <c r="H20" s="33">
        <f>0</f>
        <v>0</v>
      </c>
      <c r="I20" s="33" t="s">
        <v>107</v>
      </c>
      <c r="J20" s="33" t="s">
        <v>61</v>
      </c>
      <c r="K20" s="32" t="s">
        <v>84</v>
      </c>
      <c r="L20" s="32" t="s">
        <v>108</v>
      </c>
      <c r="M20" s="35"/>
      <c r="N20" s="31" t="s">
        <v>64</v>
      </c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45"/>
      <c r="AA20" s="14"/>
      <c r="AB20" s="14"/>
      <c r="AC20" s="14"/>
      <c r="AD20" s="14"/>
      <c r="AE20" s="14"/>
      <c r="AF20" s="14"/>
    </row>
    <row r="21" spans="1:32" ht="27" customHeight="1">
      <c r="A21" s="24" t="s">
        <v>109</v>
      </c>
      <c r="B21" s="25" t="s">
        <v>110</v>
      </c>
      <c r="C21" s="25" t="s">
        <v>88</v>
      </c>
      <c r="D21" s="36" t="s">
        <v>67</v>
      </c>
      <c r="E21" s="26" t="s">
        <v>111</v>
      </c>
      <c r="F21" s="27">
        <v>46314</v>
      </c>
      <c r="G21" s="27">
        <v>46333</v>
      </c>
      <c r="H21" s="26">
        <f>MATCH($G21,Calendario!$C$4:$C$21,0)-MATCH($F21,Calendario!$B$4:$B$21,0)+1</f>
        <v>3</v>
      </c>
      <c r="I21" s="26" t="s">
        <v>101</v>
      </c>
      <c r="J21" s="26" t="s">
        <v>94</v>
      </c>
      <c r="K21" s="25" t="s">
        <v>20</v>
      </c>
      <c r="L21" s="25" t="s">
        <v>112</v>
      </c>
      <c r="M21" s="28"/>
      <c r="N21" s="24" t="s">
        <v>49</v>
      </c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44"/>
      <c r="Z21" s="44"/>
      <c r="AA21" s="44"/>
      <c r="AB21" s="14"/>
      <c r="AC21" s="14"/>
      <c r="AD21" s="14"/>
      <c r="AE21" s="14"/>
      <c r="AF21" s="14"/>
    </row>
    <row r="22" spans="1:32" ht="27" customHeight="1">
      <c r="A22" s="24" t="s">
        <v>113</v>
      </c>
      <c r="B22" s="25" t="s">
        <v>114</v>
      </c>
      <c r="C22" s="25" t="s">
        <v>88</v>
      </c>
      <c r="D22" s="36" t="s">
        <v>67</v>
      </c>
      <c r="E22" s="26" t="s">
        <v>111</v>
      </c>
      <c r="F22" s="27">
        <v>46314</v>
      </c>
      <c r="G22" s="27">
        <v>46333</v>
      </c>
      <c r="H22" s="26">
        <f>MATCH($G22,Calendario!$C$4:$C$21,0)-MATCH($F22,Calendario!$B$4:$B$21,0)+1</f>
        <v>3</v>
      </c>
      <c r="I22" s="26" t="s">
        <v>101</v>
      </c>
      <c r="J22" s="26" t="s">
        <v>94</v>
      </c>
      <c r="K22" s="25" t="s">
        <v>20</v>
      </c>
      <c r="L22" s="25" t="s">
        <v>115</v>
      </c>
      <c r="M22" s="28"/>
      <c r="N22" s="24" t="s">
        <v>49</v>
      </c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44"/>
      <c r="Z22" s="44"/>
      <c r="AA22" s="44"/>
      <c r="AB22" s="14"/>
      <c r="AC22" s="14"/>
      <c r="AD22" s="14"/>
      <c r="AE22" s="14"/>
      <c r="AF22" s="14"/>
    </row>
    <row r="23" spans="1:32" ht="27" customHeight="1">
      <c r="A23" s="24" t="s">
        <v>116</v>
      </c>
      <c r="B23" s="25" t="s">
        <v>117</v>
      </c>
      <c r="C23" s="25" t="s">
        <v>118</v>
      </c>
      <c r="D23" s="36" t="s">
        <v>67</v>
      </c>
      <c r="E23" s="26" t="s">
        <v>119</v>
      </c>
      <c r="F23" s="27">
        <v>46307</v>
      </c>
      <c r="G23" s="27">
        <v>46340</v>
      </c>
      <c r="H23" s="26">
        <f>MATCH($G23,Calendario!$C$4:$C$21,0)-MATCH($F23,Calendario!$B$4:$B$21,0)+1</f>
        <v>5</v>
      </c>
      <c r="I23" s="26" t="s">
        <v>86</v>
      </c>
      <c r="J23" s="26" t="s">
        <v>69</v>
      </c>
      <c r="K23" s="25" t="s">
        <v>120</v>
      </c>
      <c r="L23" s="25" t="s">
        <v>121</v>
      </c>
      <c r="M23" s="28"/>
      <c r="N23" s="24" t="s">
        <v>56</v>
      </c>
      <c r="O23" s="14"/>
      <c r="P23" s="14"/>
      <c r="Q23" s="14"/>
      <c r="R23" s="14"/>
      <c r="S23" s="14"/>
      <c r="T23" s="14"/>
      <c r="U23" s="14"/>
      <c r="V23" s="14"/>
      <c r="W23" s="14"/>
      <c r="X23" s="44"/>
      <c r="Y23" s="44"/>
      <c r="Z23" s="44"/>
      <c r="AA23" s="44"/>
      <c r="AB23" s="44"/>
      <c r="AC23" s="14"/>
      <c r="AD23" s="14"/>
      <c r="AE23" s="14"/>
      <c r="AF23" s="14"/>
    </row>
    <row r="24" spans="1:32" ht="27" customHeight="1">
      <c r="A24" s="24" t="s">
        <v>122</v>
      </c>
      <c r="B24" s="25" t="s">
        <v>123</v>
      </c>
      <c r="C24" s="25" t="s">
        <v>124</v>
      </c>
      <c r="D24" s="36" t="s">
        <v>67</v>
      </c>
      <c r="E24" s="26" t="s">
        <v>125</v>
      </c>
      <c r="F24" s="27">
        <v>46328</v>
      </c>
      <c r="G24" s="27">
        <v>46347</v>
      </c>
      <c r="H24" s="26">
        <f>MATCH($G24,Calendario!$C$4:$C$21,0)-MATCH($F24,Calendario!$B$4:$B$21,0)+1</f>
        <v>3</v>
      </c>
      <c r="I24" s="26" t="s">
        <v>116</v>
      </c>
      <c r="J24" s="26" t="s">
        <v>126</v>
      </c>
      <c r="K24" s="25" t="s">
        <v>120</v>
      </c>
      <c r="L24" s="25" t="s">
        <v>127</v>
      </c>
      <c r="M24" s="28"/>
      <c r="N24" s="24" t="s">
        <v>56</v>
      </c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44"/>
      <c r="AB24" s="44"/>
      <c r="AC24" s="44"/>
      <c r="AD24" s="14"/>
      <c r="AE24" s="14"/>
      <c r="AF24" s="14"/>
    </row>
    <row r="25" spans="1:32" ht="27" customHeight="1">
      <c r="A25" s="24" t="s">
        <v>128</v>
      </c>
      <c r="B25" s="25" t="s">
        <v>129</v>
      </c>
      <c r="C25" s="25" t="s">
        <v>130</v>
      </c>
      <c r="D25" s="36" t="s">
        <v>67</v>
      </c>
      <c r="E25" s="26" t="s">
        <v>131</v>
      </c>
      <c r="F25" s="27">
        <v>46335</v>
      </c>
      <c r="G25" s="27">
        <v>46347</v>
      </c>
      <c r="H25" s="26">
        <f>MATCH($G25,Calendario!$C$4:$C$21,0)-MATCH($F25,Calendario!$B$4:$B$21,0)+1</f>
        <v>2</v>
      </c>
      <c r="I25" s="26" t="s">
        <v>104</v>
      </c>
      <c r="J25" s="26" t="s">
        <v>69</v>
      </c>
      <c r="K25" s="25" t="s">
        <v>31</v>
      </c>
      <c r="L25" s="25" t="s">
        <v>132</v>
      </c>
      <c r="M25" s="28"/>
      <c r="N25" s="24" t="s">
        <v>56</v>
      </c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44"/>
      <c r="AC25" s="44"/>
      <c r="AD25" s="14"/>
      <c r="AE25" s="14"/>
      <c r="AF25" s="14"/>
    </row>
    <row r="26" spans="1:32" ht="27" customHeight="1">
      <c r="A26" s="24" t="s">
        <v>133</v>
      </c>
      <c r="B26" s="25" t="s">
        <v>134</v>
      </c>
      <c r="C26" s="25" t="s">
        <v>135</v>
      </c>
      <c r="D26" s="37" t="s">
        <v>136</v>
      </c>
      <c r="E26" s="26" t="s">
        <v>131</v>
      </c>
      <c r="F26" s="27">
        <v>46328</v>
      </c>
      <c r="G26" s="27">
        <v>46354</v>
      </c>
      <c r="H26" s="26">
        <f>MATCH($G26,Calendario!$C$4:$C$21,0)-MATCH($F26,Calendario!$B$4:$B$21,0)+1</f>
        <v>4</v>
      </c>
      <c r="I26" s="26" t="s">
        <v>116</v>
      </c>
      <c r="J26" s="26" t="s">
        <v>126</v>
      </c>
      <c r="K26" s="25" t="s">
        <v>62</v>
      </c>
      <c r="L26" s="25" t="s">
        <v>137</v>
      </c>
      <c r="M26" s="28"/>
      <c r="N26" s="24" t="s">
        <v>56</v>
      </c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44"/>
      <c r="AB26" s="44"/>
      <c r="AC26" s="44"/>
      <c r="AD26" s="44"/>
      <c r="AE26" s="14"/>
      <c r="AF26" s="14"/>
    </row>
    <row r="27" spans="1:32" ht="27" customHeight="1">
      <c r="A27" s="31" t="s">
        <v>138</v>
      </c>
      <c r="B27" s="32" t="s">
        <v>139</v>
      </c>
      <c r="C27" s="32" t="s">
        <v>131</v>
      </c>
      <c r="D27" s="33" t="s">
        <v>67</v>
      </c>
      <c r="E27" s="33" t="s">
        <v>131</v>
      </c>
      <c r="F27" s="34">
        <v>46347</v>
      </c>
      <c r="G27" s="34">
        <v>46347</v>
      </c>
      <c r="H27" s="33">
        <f>0</f>
        <v>0</v>
      </c>
      <c r="I27" s="33" t="s">
        <v>140</v>
      </c>
      <c r="J27" s="33" t="s">
        <v>61</v>
      </c>
      <c r="K27" s="32" t="s">
        <v>141</v>
      </c>
      <c r="L27" s="32" t="s">
        <v>142</v>
      </c>
      <c r="M27" s="35"/>
      <c r="N27" s="31" t="s">
        <v>64</v>
      </c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45"/>
      <c r="AD27" s="14"/>
      <c r="AE27" s="14"/>
      <c r="AF27" s="14"/>
    </row>
    <row r="28" spans="1:32" ht="27" customHeight="1">
      <c r="A28" s="24" t="s">
        <v>143</v>
      </c>
      <c r="B28" s="25" t="s">
        <v>144</v>
      </c>
      <c r="C28" s="25" t="s">
        <v>145</v>
      </c>
      <c r="D28" s="37" t="s">
        <v>146</v>
      </c>
      <c r="E28" s="26" t="s">
        <v>131</v>
      </c>
      <c r="F28" s="27">
        <v>46349</v>
      </c>
      <c r="G28" s="27">
        <v>46354</v>
      </c>
      <c r="H28" s="26">
        <f>MATCH($G28,Calendario!$C$4:$C$21,0)-MATCH($F28,Calendario!$B$4:$B$21,0)+1</f>
        <v>1</v>
      </c>
      <c r="I28" s="26" t="s">
        <v>138</v>
      </c>
      <c r="J28" s="26" t="s">
        <v>69</v>
      </c>
      <c r="K28" s="25" t="s">
        <v>54</v>
      </c>
      <c r="L28" s="25" t="s">
        <v>147</v>
      </c>
      <c r="M28" s="28"/>
      <c r="N28" s="24" t="s">
        <v>56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44"/>
      <c r="AE28" s="14"/>
      <c r="AF28" s="14"/>
    </row>
    <row r="29" spans="1:32" ht="27" customHeight="1">
      <c r="A29" s="31" t="s">
        <v>148</v>
      </c>
      <c r="B29" s="32" t="s">
        <v>149</v>
      </c>
      <c r="C29" s="32" t="s">
        <v>131</v>
      </c>
      <c r="D29" s="33" t="s">
        <v>146</v>
      </c>
      <c r="E29" s="33" t="s">
        <v>131</v>
      </c>
      <c r="F29" s="34">
        <v>46354</v>
      </c>
      <c r="G29" s="34">
        <v>46354</v>
      </c>
      <c r="H29" s="33">
        <f>0</f>
        <v>0</v>
      </c>
      <c r="I29" s="33" t="s">
        <v>143</v>
      </c>
      <c r="J29" s="33" t="s">
        <v>61</v>
      </c>
      <c r="K29" s="32" t="s">
        <v>62</v>
      </c>
      <c r="L29" s="32" t="s">
        <v>150</v>
      </c>
      <c r="M29" s="35"/>
      <c r="N29" s="31" t="s">
        <v>64</v>
      </c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45"/>
      <c r="AE29" s="14"/>
      <c r="AF29" s="14"/>
    </row>
    <row r="30" spans="1:32" ht="27" customHeight="1">
      <c r="A30" s="24" t="s">
        <v>151</v>
      </c>
      <c r="B30" s="25" t="s">
        <v>152</v>
      </c>
      <c r="C30" s="25" t="s">
        <v>153</v>
      </c>
      <c r="D30" s="37" t="s">
        <v>146</v>
      </c>
      <c r="E30" s="26" t="s">
        <v>154</v>
      </c>
      <c r="F30" s="27">
        <v>46349</v>
      </c>
      <c r="G30" s="27">
        <v>46368</v>
      </c>
      <c r="H30" s="26">
        <f>MATCH($G30,Calendario!$C$4:$C$21,0)-MATCH($F30,Calendario!$B$4:$B$21,0)+1</f>
        <v>3</v>
      </c>
      <c r="I30" s="26" t="s">
        <v>143</v>
      </c>
      <c r="J30" s="26" t="s">
        <v>25</v>
      </c>
      <c r="K30" s="25" t="s">
        <v>26</v>
      </c>
      <c r="L30" s="25" t="s">
        <v>155</v>
      </c>
      <c r="M30" s="28"/>
      <c r="N30" s="24" t="s">
        <v>56</v>
      </c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44"/>
      <c r="AE30" s="44"/>
      <c r="AF30" s="44"/>
    </row>
    <row r="31" spans="1:32" ht="27" customHeight="1">
      <c r="A31" s="24" t="s">
        <v>156</v>
      </c>
      <c r="B31" s="25" t="s">
        <v>157</v>
      </c>
      <c r="C31" s="25" t="s">
        <v>158</v>
      </c>
      <c r="D31" s="37" t="s">
        <v>146</v>
      </c>
      <c r="E31" s="26" t="s">
        <v>154</v>
      </c>
      <c r="F31" s="27">
        <v>46356</v>
      </c>
      <c r="G31" s="27">
        <v>46368</v>
      </c>
      <c r="H31" s="26">
        <f>MATCH($G31,Calendario!$C$4:$C$21,0)-MATCH($F31,Calendario!$B$4:$B$21,0)+1</f>
        <v>2</v>
      </c>
      <c r="I31" s="26" t="s">
        <v>159</v>
      </c>
      <c r="J31" s="26" t="s">
        <v>69</v>
      </c>
      <c r="K31" s="25" t="s">
        <v>84</v>
      </c>
      <c r="L31" s="25" t="s">
        <v>160</v>
      </c>
      <c r="M31" s="28"/>
      <c r="N31" s="24" t="s">
        <v>56</v>
      </c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44"/>
      <c r="AF31" s="44"/>
    </row>
    <row r="32" spans="1:32" ht="27" customHeight="1">
      <c r="A32" s="31" t="s">
        <v>161</v>
      </c>
      <c r="B32" s="32" t="s">
        <v>162</v>
      </c>
      <c r="C32" s="32" t="s">
        <v>158</v>
      </c>
      <c r="D32" s="33" t="s">
        <v>146</v>
      </c>
      <c r="E32" s="33" t="s">
        <v>154</v>
      </c>
      <c r="F32" s="34">
        <v>46368</v>
      </c>
      <c r="G32" s="34">
        <v>46368</v>
      </c>
      <c r="H32" s="33">
        <f>0</f>
        <v>0</v>
      </c>
      <c r="I32" s="33" t="s">
        <v>163</v>
      </c>
      <c r="J32" s="33" t="s">
        <v>61</v>
      </c>
      <c r="K32" s="32" t="s">
        <v>164</v>
      </c>
      <c r="L32" s="32" t="s">
        <v>165</v>
      </c>
      <c r="M32" s="35"/>
      <c r="N32" s="31" t="s">
        <v>64</v>
      </c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45"/>
    </row>
    <row r="33" spans="1:32" ht="27" customHeight="1">
      <c r="A33" s="38" t="s">
        <v>166</v>
      </c>
      <c r="B33" s="39" t="s">
        <v>167</v>
      </c>
      <c r="C33" s="39" t="s">
        <v>168</v>
      </c>
      <c r="D33" s="40" t="s">
        <v>169</v>
      </c>
      <c r="E33" s="40" t="s">
        <v>170</v>
      </c>
      <c r="F33" s="41">
        <v>46244</v>
      </c>
      <c r="G33" s="41">
        <v>46368</v>
      </c>
      <c r="H33" s="40">
        <f>MATCH($G33,Calendario!$C$4:$C$21,0)-MATCH($F33,Calendario!$B$4:$B$21,0)+1</f>
        <v>18</v>
      </c>
      <c r="I33" s="40"/>
      <c r="J33" s="40" t="s">
        <v>19</v>
      </c>
      <c r="K33" s="39" t="s">
        <v>75</v>
      </c>
      <c r="L33" s="39" t="s">
        <v>171</v>
      </c>
      <c r="M33" s="42"/>
      <c r="N33" s="38" t="s">
        <v>56</v>
      </c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ht="27" customHeight="1">
      <c r="A34" s="38" t="s">
        <v>172</v>
      </c>
      <c r="B34" s="39" t="s">
        <v>173</v>
      </c>
      <c r="C34" s="39" t="s">
        <v>168</v>
      </c>
      <c r="D34" s="40" t="s">
        <v>169</v>
      </c>
      <c r="E34" s="40" t="s">
        <v>174</v>
      </c>
      <c r="F34" s="41">
        <v>46244</v>
      </c>
      <c r="G34" s="41">
        <v>46368</v>
      </c>
      <c r="H34" s="40">
        <f>MATCH($G34,Calendario!$C$4:$C$21,0)-MATCH($F34,Calendario!$B$4:$B$21,0)+1</f>
        <v>18</v>
      </c>
      <c r="I34" s="40" t="s">
        <v>166</v>
      </c>
      <c r="J34" s="40" t="s">
        <v>25</v>
      </c>
      <c r="K34" s="39" t="s">
        <v>175</v>
      </c>
      <c r="L34" s="39" t="s">
        <v>176</v>
      </c>
      <c r="M34" s="42"/>
      <c r="N34" s="38" t="s">
        <v>56</v>
      </c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27" customHeight="1">
      <c r="A35" s="38" t="s">
        <v>177</v>
      </c>
      <c r="B35" s="39" t="s">
        <v>178</v>
      </c>
      <c r="C35" s="39" t="s">
        <v>168</v>
      </c>
      <c r="D35" s="40" t="s">
        <v>169</v>
      </c>
      <c r="E35" s="40" t="s">
        <v>170</v>
      </c>
      <c r="F35" s="41">
        <v>46244</v>
      </c>
      <c r="G35" s="41">
        <v>46368</v>
      </c>
      <c r="H35" s="40">
        <f>MATCH($G35,Calendario!$C$4:$C$21,0)-MATCH($F35,Calendario!$B$4:$B$21,0)+1</f>
        <v>18</v>
      </c>
      <c r="I35" s="40" t="s">
        <v>166</v>
      </c>
      <c r="J35" s="40" t="s">
        <v>25</v>
      </c>
      <c r="K35" s="39" t="s">
        <v>54</v>
      </c>
      <c r="L35" s="39" t="s">
        <v>179</v>
      </c>
      <c r="M35" s="42"/>
      <c r="N35" s="38" t="s">
        <v>56</v>
      </c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</row>
    <row r="36" spans="1:32" ht="27" customHeight="1">
      <c r="A36" s="38" t="s">
        <v>180</v>
      </c>
      <c r="B36" s="39" t="s">
        <v>181</v>
      </c>
      <c r="C36" s="39" t="s">
        <v>35</v>
      </c>
      <c r="D36" s="40" t="s">
        <v>67</v>
      </c>
      <c r="E36" s="40" t="s">
        <v>182</v>
      </c>
      <c r="F36" s="41">
        <v>46272</v>
      </c>
      <c r="G36" s="41">
        <v>46347</v>
      </c>
      <c r="H36" s="40">
        <f>MATCH($G36,Calendario!$C$4:$C$21,0)-MATCH($F36,Calendario!$B$4:$B$21,0)+1</f>
        <v>11</v>
      </c>
      <c r="I36" s="40" t="s">
        <v>183</v>
      </c>
      <c r="J36" s="40" t="s">
        <v>69</v>
      </c>
      <c r="K36" s="39" t="s">
        <v>26</v>
      </c>
      <c r="L36" s="39" t="s">
        <v>184</v>
      </c>
      <c r="M36" s="42"/>
      <c r="N36" s="38" t="s">
        <v>56</v>
      </c>
      <c r="O36" s="14"/>
      <c r="P36" s="14"/>
      <c r="Q36" s="14"/>
      <c r="R36" s="14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14"/>
      <c r="AE36" s="14"/>
      <c r="AF36" s="14"/>
    </row>
    <row r="37" spans="1:32" ht="27" customHeight="1">
      <c r="A37" s="38" t="s">
        <v>185</v>
      </c>
      <c r="B37" s="39" t="s">
        <v>186</v>
      </c>
      <c r="C37" s="39" t="s">
        <v>187</v>
      </c>
      <c r="D37" s="40" t="s">
        <v>67</v>
      </c>
      <c r="E37" s="40" t="s">
        <v>182</v>
      </c>
      <c r="F37" s="41">
        <v>46272</v>
      </c>
      <c r="G37" s="41">
        <v>46347</v>
      </c>
      <c r="H37" s="40">
        <f>MATCH($G37,Calendario!$C$4:$C$21,0)-MATCH($F37,Calendario!$B$4:$B$21,0)+1</f>
        <v>11</v>
      </c>
      <c r="I37" s="40" t="s">
        <v>188</v>
      </c>
      <c r="J37" s="40" t="s">
        <v>69</v>
      </c>
      <c r="K37" s="39" t="s">
        <v>54</v>
      </c>
      <c r="L37" s="39" t="s">
        <v>189</v>
      </c>
      <c r="M37" s="42"/>
      <c r="N37" s="38" t="s">
        <v>56</v>
      </c>
      <c r="O37" s="14"/>
      <c r="P37" s="14"/>
      <c r="Q37" s="14"/>
      <c r="R37" s="14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14"/>
      <c r="AE37" s="14"/>
      <c r="AF37" s="14"/>
    </row>
    <row r="38" spans="1:32" ht="27" customHeight="1">
      <c r="A38" s="38" t="s">
        <v>190</v>
      </c>
      <c r="B38" s="39" t="s">
        <v>191</v>
      </c>
      <c r="C38" s="39" t="s">
        <v>35</v>
      </c>
      <c r="D38" s="40" t="s">
        <v>67</v>
      </c>
      <c r="E38" s="40" t="s">
        <v>192</v>
      </c>
      <c r="F38" s="41">
        <v>46286</v>
      </c>
      <c r="G38" s="41">
        <v>46347</v>
      </c>
      <c r="H38" s="40">
        <f>MATCH($G38,Calendario!$C$4:$C$21,0)-MATCH($F38,Calendario!$B$4:$B$21,0)+1</f>
        <v>9</v>
      </c>
      <c r="I38" s="40" t="s">
        <v>99</v>
      </c>
      <c r="J38" s="40" t="s">
        <v>89</v>
      </c>
      <c r="K38" s="39" t="s">
        <v>42</v>
      </c>
      <c r="L38" s="39" t="s">
        <v>193</v>
      </c>
      <c r="M38" s="42"/>
      <c r="N38" s="38" t="s">
        <v>56</v>
      </c>
      <c r="O38" s="14"/>
      <c r="P38" s="14"/>
      <c r="Q38" s="14"/>
      <c r="R38" s="14"/>
      <c r="S38" s="14"/>
      <c r="T38" s="14"/>
      <c r="U38" s="46"/>
      <c r="V38" s="46"/>
      <c r="W38" s="46"/>
      <c r="X38" s="46"/>
      <c r="Y38" s="46"/>
      <c r="Z38" s="46"/>
      <c r="AA38" s="46"/>
      <c r="AB38" s="46"/>
      <c r="AC38" s="46"/>
      <c r="AD38" s="14"/>
      <c r="AE38" s="14"/>
      <c r="AF38" s="14"/>
    </row>
    <row r="39" spans="1:32" ht="27" customHeight="1">
      <c r="A39" s="38" t="s">
        <v>194</v>
      </c>
      <c r="B39" s="39" t="s">
        <v>195</v>
      </c>
      <c r="C39" s="39" t="s">
        <v>35</v>
      </c>
      <c r="D39" s="40" t="s">
        <v>67</v>
      </c>
      <c r="E39" s="40" t="s">
        <v>192</v>
      </c>
      <c r="F39" s="41">
        <v>46293</v>
      </c>
      <c r="G39" s="41">
        <v>46347</v>
      </c>
      <c r="H39" s="40">
        <f>MATCH($G39,Calendario!$C$4:$C$21,0)-MATCH($F39,Calendario!$B$4:$B$21,0)+1</f>
        <v>8</v>
      </c>
      <c r="I39" s="40" t="s">
        <v>196</v>
      </c>
      <c r="J39" s="40" t="s">
        <v>197</v>
      </c>
      <c r="K39" s="39" t="s">
        <v>141</v>
      </c>
      <c r="L39" s="39" t="s">
        <v>198</v>
      </c>
      <c r="M39" s="42"/>
      <c r="N39" s="38" t="s">
        <v>56</v>
      </c>
      <c r="O39" s="14"/>
      <c r="P39" s="14"/>
      <c r="Q39" s="14"/>
      <c r="R39" s="14"/>
      <c r="S39" s="14"/>
      <c r="T39" s="14"/>
      <c r="U39" s="14"/>
      <c r="V39" s="46"/>
      <c r="W39" s="46"/>
      <c r="X39" s="46"/>
      <c r="Y39" s="46"/>
      <c r="Z39" s="46"/>
      <c r="AA39" s="46"/>
      <c r="AB39" s="46"/>
      <c r="AC39" s="46"/>
      <c r="AD39" s="14"/>
      <c r="AE39" s="14"/>
      <c r="AF39" s="14"/>
    </row>
    <row r="40" spans="1:32" ht="27" customHeight="1">
      <c r="A40" s="38" t="s">
        <v>199</v>
      </c>
      <c r="B40" s="39" t="s">
        <v>200</v>
      </c>
      <c r="C40" s="39" t="s">
        <v>201</v>
      </c>
      <c r="D40" s="40" t="s">
        <v>67</v>
      </c>
      <c r="E40" s="40" t="s">
        <v>202</v>
      </c>
      <c r="F40" s="41">
        <v>46314</v>
      </c>
      <c r="G40" s="41">
        <v>46347</v>
      </c>
      <c r="H40" s="40">
        <f>MATCH($G40,Calendario!$C$4:$C$21,0)-MATCH($F40,Calendario!$B$4:$B$21,0)+1</f>
        <v>5</v>
      </c>
      <c r="I40" s="40" t="s">
        <v>96</v>
      </c>
      <c r="J40" s="40" t="s">
        <v>89</v>
      </c>
      <c r="K40" s="39" t="s">
        <v>42</v>
      </c>
      <c r="L40" s="39" t="s">
        <v>203</v>
      </c>
      <c r="M40" s="42"/>
      <c r="N40" s="38" t="s">
        <v>56</v>
      </c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44"/>
      <c r="Z40" s="44"/>
      <c r="AA40" s="44"/>
      <c r="AB40" s="44"/>
      <c r="AC40" s="44"/>
      <c r="AD40" s="14"/>
      <c r="AE40" s="14"/>
      <c r="AF40" s="14"/>
    </row>
  </sheetData>
  <mergeCells count="2">
    <mergeCell ref="A1:Z1"/>
    <mergeCell ref="A2:Z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showGridLines="0" workbookViewId="0">
      <selection sqref="A1:G1"/>
    </sheetView>
  </sheetViews>
  <sheetFormatPr baseColWidth="10" defaultColWidth="9" defaultRowHeight="14.25"/>
  <cols>
    <col min="1" max="1" width="25" customWidth="1"/>
    <col min="2" max="2" width="45" customWidth="1"/>
    <col min="3" max="3" width="14" customWidth="1"/>
    <col min="4" max="4" width="23" customWidth="1"/>
    <col min="5" max="5" width="27" customWidth="1"/>
    <col min="6" max="6" width="24" customWidth="1"/>
    <col min="7" max="7" width="38" customWidth="1"/>
    <col min="8" max="8" width="44" customWidth="1"/>
  </cols>
  <sheetData>
    <row r="1" spans="1:8" ht="27.95" customHeight="1">
      <c r="A1" s="49" t="s">
        <v>204</v>
      </c>
      <c r="B1" s="49"/>
      <c r="C1" s="49"/>
      <c r="D1" s="49"/>
      <c r="E1" s="49"/>
      <c r="F1" s="49"/>
      <c r="G1" s="49"/>
      <c r="H1" s="6"/>
    </row>
    <row r="2" spans="1:8" ht="23.1" customHeight="1">
      <c r="A2" s="50" t="s">
        <v>205</v>
      </c>
      <c r="B2" s="50"/>
      <c r="C2" s="50"/>
      <c r="D2" s="50"/>
      <c r="E2" s="50"/>
      <c r="F2" s="50"/>
      <c r="G2" s="50"/>
      <c r="H2" s="7"/>
    </row>
    <row r="3" spans="1:8" ht="24" customHeight="1">
      <c r="A3" s="8" t="s">
        <v>206</v>
      </c>
      <c r="B3" s="8" t="s">
        <v>207</v>
      </c>
      <c r="C3" s="8" t="s">
        <v>208</v>
      </c>
      <c r="D3" s="8" t="s">
        <v>209</v>
      </c>
      <c r="E3" s="8" t="s">
        <v>210</v>
      </c>
      <c r="F3" s="8" t="s">
        <v>211</v>
      </c>
      <c r="G3" s="8" t="s">
        <v>212</v>
      </c>
      <c r="H3" s="8" t="s">
        <v>213</v>
      </c>
    </row>
    <row r="4" spans="1:8" ht="42" customHeight="1">
      <c r="A4" s="9" t="s">
        <v>214</v>
      </c>
      <c r="B4" s="9" t="s">
        <v>215</v>
      </c>
      <c r="C4" s="9" t="s">
        <v>216</v>
      </c>
      <c r="D4" s="9" t="s">
        <v>217</v>
      </c>
      <c r="E4" s="9" t="s">
        <v>218</v>
      </c>
      <c r="F4" s="9" t="s">
        <v>219</v>
      </c>
      <c r="G4" s="9" t="s">
        <v>220</v>
      </c>
      <c r="H4" s="9" t="s">
        <v>221</v>
      </c>
    </row>
    <row r="5" spans="1:8" ht="42" customHeight="1">
      <c r="A5" s="10" t="s">
        <v>222</v>
      </c>
      <c r="B5" s="10" t="s">
        <v>223</v>
      </c>
      <c r="C5" s="10" t="s">
        <v>216</v>
      </c>
      <c r="D5" s="10" t="s">
        <v>224</v>
      </c>
      <c r="E5" s="10" t="s">
        <v>225</v>
      </c>
      <c r="F5" s="10" t="s">
        <v>226</v>
      </c>
      <c r="G5" s="10" t="s">
        <v>227</v>
      </c>
      <c r="H5" s="10" t="s">
        <v>228</v>
      </c>
    </row>
    <row r="6" spans="1:8" ht="42" customHeight="1">
      <c r="A6" s="10" t="s">
        <v>40</v>
      </c>
      <c r="B6" s="10" t="s">
        <v>229</v>
      </c>
      <c r="C6" s="10" t="s">
        <v>230</v>
      </c>
      <c r="D6" s="10" t="s">
        <v>231</v>
      </c>
      <c r="E6" s="10" t="s">
        <v>232</v>
      </c>
      <c r="F6" s="10" t="s">
        <v>233</v>
      </c>
      <c r="G6" s="10" t="s">
        <v>234</v>
      </c>
      <c r="H6" s="10" t="s">
        <v>235</v>
      </c>
    </row>
    <row r="7" spans="1:8" ht="42" customHeight="1">
      <c r="A7" s="10" t="s">
        <v>46</v>
      </c>
      <c r="B7" s="10" t="s">
        <v>236</v>
      </c>
      <c r="C7" s="10" t="s">
        <v>237</v>
      </c>
      <c r="D7" s="10" t="s">
        <v>238</v>
      </c>
      <c r="E7" s="10" t="s">
        <v>239</v>
      </c>
      <c r="F7" s="10" t="s">
        <v>240</v>
      </c>
      <c r="G7" s="10" t="s">
        <v>241</v>
      </c>
      <c r="H7" s="10" t="s">
        <v>242</v>
      </c>
    </row>
    <row r="8" spans="1:8" ht="42" customHeight="1">
      <c r="A8" s="10" t="s">
        <v>73</v>
      </c>
      <c r="B8" s="10" t="s">
        <v>243</v>
      </c>
      <c r="C8" s="10" t="s">
        <v>244</v>
      </c>
      <c r="D8" s="10" t="s">
        <v>238</v>
      </c>
      <c r="E8" s="10" t="s">
        <v>245</v>
      </c>
      <c r="F8" s="10" t="s">
        <v>246</v>
      </c>
      <c r="G8" s="10" t="s">
        <v>247</v>
      </c>
      <c r="H8" s="10" t="s">
        <v>248</v>
      </c>
    </row>
    <row r="9" spans="1:8" ht="42" customHeight="1">
      <c r="A9" s="10" t="s">
        <v>35</v>
      </c>
      <c r="B9" s="10" t="s">
        <v>249</v>
      </c>
      <c r="C9" s="10" t="s">
        <v>216</v>
      </c>
      <c r="D9" s="10" t="s">
        <v>250</v>
      </c>
      <c r="E9" s="10" t="s">
        <v>251</v>
      </c>
      <c r="F9" s="10" t="s">
        <v>252</v>
      </c>
      <c r="G9" s="10" t="s">
        <v>253</v>
      </c>
      <c r="H9" s="10" t="s">
        <v>254</v>
      </c>
    </row>
    <row r="10" spans="1:8" ht="42" customHeight="1">
      <c r="A10" s="10" t="s">
        <v>255</v>
      </c>
      <c r="B10" s="10" t="s">
        <v>256</v>
      </c>
      <c r="C10" s="10" t="s">
        <v>257</v>
      </c>
      <c r="D10" s="10" t="s">
        <v>258</v>
      </c>
      <c r="E10" s="10" t="s">
        <v>54</v>
      </c>
      <c r="F10" s="10" t="s">
        <v>259</v>
      </c>
      <c r="G10" s="10" t="s">
        <v>260</v>
      </c>
      <c r="H10" s="10" t="s">
        <v>261</v>
      </c>
    </row>
    <row r="11" spans="1:8" ht="42" customHeight="1">
      <c r="A11" s="10" t="s">
        <v>262</v>
      </c>
      <c r="B11" s="10" t="s">
        <v>263</v>
      </c>
      <c r="C11" s="10" t="s">
        <v>216</v>
      </c>
      <c r="D11" s="10" t="s">
        <v>264</v>
      </c>
      <c r="E11" s="10" t="s">
        <v>265</v>
      </c>
      <c r="F11" s="10" t="s">
        <v>252</v>
      </c>
      <c r="G11" s="10" t="s">
        <v>266</v>
      </c>
      <c r="H11" s="10" t="s">
        <v>267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4"/>
  <sheetViews>
    <sheetView showGridLines="0" workbookViewId="0">
      <selection sqref="A1:T1"/>
    </sheetView>
  </sheetViews>
  <sheetFormatPr baseColWidth="10" defaultColWidth="9" defaultRowHeight="14.25"/>
  <cols>
    <col min="1" max="1" width="36" customWidth="1"/>
    <col min="2" max="17" width="10" customWidth="1"/>
    <col min="18" max="21" width="14" customWidth="1"/>
  </cols>
  <sheetData>
    <row r="1" spans="1:21" ht="27.95" customHeight="1">
      <c r="A1" s="49" t="s">
        <v>268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6"/>
    </row>
    <row r="2" spans="1:21" ht="23.1" customHeight="1">
      <c r="A2" s="50" t="s">
        <v>269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7"/>
    </row>
    <row r="3" spans="1:21" ht="24" customHeight="1">
      <c r="A3" s="8" t="s">
        <v>2</v>
      </c>
      <c r="B3" s="8" t="s">
        <v>270</v>
      </c>
      <c r="C3" s="8" t="s">
        <v>271</v>
      </c>
      <c r="D3" s="8" t="s">
        <v>272</v>
      </c>
      <c r="E3" s="8" t="s">
        <v>273</v>
      </c>
      <c r="F3" s="8" t="s">
        <v>274</v>
      </c>
      <c r="G3" s="8" t="s">
        <v>275</v>
      </c>
      <c r="H3" s="8" t="s">
        <v>276</v>
      </c>
      <c r="I3" s="8" t="s">
        <v>277</v>
      </c>
      <c r="J3" s="8" t="s">
        <v>278</v>
      </c>
      <c r="K3" s="8" t="s">
        <v>279</v>
      </c>
      <c r="L3" s="8" t="s">
        <v>280</v>
      </c>
      <c r="M3" s="8" t="s">
        <v>281</v>
      </c>
      <c r="N3" s="8" t="s">
        <v>282</v>
      </c>
      <c r="O3" s="8" t="s">
        <v>283</v>
      </c>
      <c r="P3" s="8" t="s">
        <v>135</v>
      </c>
      <c r="Q3" s="8" t="s">
        <v>284</v>
      </c>
      <c r="R3" s="8" t="s">
        <v>285</v>
      </c>
      <c r="S3" s="8" t="s">
        <v>75</v>
      </c>
      <c r="T3" s="8" t="s">
        <v>47</v>
      </c>
      <c r="U3" s="8" t="s">
        <v>286</v>
      </c>
    </row>
    <row r="4" spans="1:21" ht="30" customHeight="1">
      <c r="A4" s="9" t="s">
        <v>287</v>
      </c>
      <c r="B4" s="11" t="s">
        <v>288</v>
      </c>
      <c r="C4" s="11" t="s">
        <v>289</v>
      </c>
      <c r="D4" s="11" t="s">
        <v>290</v>
      </c>
      <c r="E4" s="11"/>
      <c r="F4" s="11" t="s">
        <v>290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 t="s">
        <v>288</v>
      </c>
      <c r="S4" s="11" t="s">
        <v>290</v>
      </c>
      <c r="T4" s="11" t="s">
        <v>291</v>
      </c>
      <c r="U4" s="11" t="s">
        <v>288</v>
      </c>
    </row>
    <row r="5" spans="1:21" ht="30" customHeight="1">
      <c r="A5" s="10" t="s">
        <v>292</v>
      </c>
      <c r="B5" s="12"/>
      <c r="C5" s="12" t="s">
        <v>291</v>
      </c>
      <c r="D5" s="12" t="s">
        <v>288</v>
      </c>
      <c r="E5" s="12" t="s">
        <v>288</v>
      </c>
      <c r="F5" s="12" t="s">
        <v>290</v>
      </c>
      <c r="G5" s="12"/>
      <c r="H5" s="12"/>
      <c r="I5" s="12"/>
      <c r="J5" s="12"/>
      <c r="K5" s="12"/>
      <c r="L5" s="12"/>
      <c r="M5" s="12"/>
      <c r="N5" s="12" t="s">
        <v>288</v>
      </c>
      <c r="O5" s="12"/>
      <c r="P5" s="12"/>
      <c r="Q5" s="12"/>
      <c r="R5" s="12" t="s">
        <v>288</v>
      </c>
      <c r="S5" s="12" t="s">
        <v>288</v>
      </c>
      <c r="T5" s="12" t="s">
        <v>291</v>
      </c>
      <c r="U5" s="12" t="s">
        <v>288</v>
      </c>
    </row>
    <row r="6" spans="1:21" ht="30" customHeight="1">
      <c r="A6" s="10" t="s">
        <v>293</v>
      </c>
      <c r="B6" s="12" t="s">
        <v>294</v>
      </c>
      <c r="C6" s="12" t="s">
        <v>288</v>
      </c>
      <c r="D6" s="12" t="s">
        <v>291</v>
      </c>
      <c r="E6" s="12" t="s">
        <v>290</v>
      </c>
      <c r="F6" s="12"/>
      <c r="G6" s="12"/>
      <c r="H6" s="12"/>
      <c r="I6" s="12"/>
      <c r="J6" s="12"/>
      <c r="K6" s="12"/>
      <c r="L6" s="12"/>
      <c r="M6" s="12"/>
      <c r="N6" s="12" t="s">
        <v>288</v>
      </c>
      <c r="O6" s="12" t="s">
        <v>288</v>
      </c>
      <c r="P6" s="12"/>
      <c r="Q6" s="12"/>
      <c r="R6" s="12" t="s">
        <v>294</v>
      </c>
      <c r="S6" s="12" t="s">
        <v>291</v>
      </c>
      <c r="T6" s="12" t="s">
        <v>288</v>
      </c>
      <c r="U6" s="12" t="s">
        <v>288</v>
      </c>
    </row>
    <row r="7" spans="1:21" ht="30" customHeight="1">
      <c r="A7" s="10" t="s">
        <v>295</v>
      </c>
      <c r="B7" s="12"/>
      <c r="C7" s="12" t="s">
        <v>289</v>
      </c>
      <c r="D7" s="12" t="s">
        <v>290</v>
      </c>
      <c r="E7" s="12" t="s">
        <v>288</v>
      </c>
      <c r="F7" s="12"/>
      <c r="G7" s="12" t="s">
        <v>288</v>
      </c>
      <c r="H7" s="12"/>
      <c r="I7" s="12"/>
      <c r="J7" s="12"/>
      <c r="K7" s="12"/>
      <c r="L7" s="12" t="s">
        <v>288</v>
      </c>
      <c r="M7" s="12"/>
      <c r="N7" s="12" t="s">
        <v>288</v>
      </c>
      <c r="O7" s="12" t="s">
        <v>290</v>
      </c>
      <c r="P7" s="12"/>
      <c r="Q7" s="12"/>
      <c r="R7" s="12"/>
      <c r="S7" s="12" t="s">
        <v>291</v>
      </c>
      <c r="T7" s="12" t="s">
        <v>288</v>
      </c>
      <c r="U7" s="12" t="s">
        <v>290</v>
      </c>
    </row>
    <row r="8" spans="1:21" ht="30" customHeight="1">
      <c r="A8" s="10" t="s">
        <v>40</v>
      </c>
      <c r="B8" s="12"/>
      <c r="C8" s="12" t="s">
        <v>288</v>
      </c>
      <c r="D8" s="12" t="s">
        <v>288</v>
      </c>
      <c r="E8" s="12"/>
      <c r="F8" s="12" t="s">
        <v>288</v>
      </c>
      <c r="G8" s="12" t="s">
        <v>291</v>
      </c>
      <c r="H8" s="12"/>
      <c r="I8" s="12"/>
      <c r="J8" s="12" t="s">
        <v>288</v>
      </c>
      <c r="K8" s="12" t="s">
        <v>290</v>
      </c>
      <c r="L8" s="12" t="s">
        <v>288</v>
      </c>
      <c r="M8" s="12"/>
      <c r="N8" s="12" t="s">
        <v>288</v>
      </c>
      <c r="O8" s="12"/>
      <c r="P8" s="12"/>
      <c r="Q8" s="12"/>
      <c r="R8" s="12"/>
      <c r="S8" s="12" t="s">
        <v>288</v>
      </c>
      <c r="T8" s="12" t="s">
        <v>294</v>
      </c>
      <c r="U8" s="12" t="s">
        <v>291</v>
      </c>
    </row>
    <row r="9" spans="1:21" ht="30" customHeight="1">
      <c r="A9" s="10" t="s">
        <v>296</v>
      </c>
      <c r="B9" s="12"/>
      <c r="C9" s="12" t="s">
        <v>289</v>
      </c>
      <c r="D9" s="12"/>
      <c r="E9" s="12"/>
      <c r="F9" s="12" t="s">
        <v>288</v>
      </c>
      <c r="G9" s="12"/>
      <c r="H9" s="12" t="s">
        <v>290</v>
      </c>
      <c r="I9" s="12" t="s">
        <v>290</v>
      </c>
      <c r="J9" s="12"/>
      <c r="K9" s="12"/>
      <c r="L9" s="12" t="s">
        <v>288</v>
      </c>
      <c r="M9" s="12"/>
      <c r="N9" s="12" t="s">
        <v>288</v>
      </c>
      <c r="O9" s="12"/>
      <c r="P9" s="12"/>
      <c r="Q9" s="12"/>
      <c r="R9" s="12"/>
      <c r="S9" s="12" t="s">
        <v>288</v>
      </c>
      <c r="T9" s="12" t="s">
        <v>291</v>
      </c>
      <c r="U9" s="12" t="s">
        <v>288</v>
      </c>
    </row>
    <row r="10" spans="1:21" ht="30" customHeight="1">
      <c r="A10" s="10" t="s">
        <v>297</v>
      </c>
      <c r="B10" s="12"/>
      <c r="C10" s="12" t="s">
        <v>288</v>
      </c>
      <c r="D10" s="12" t="s">
        <v>288</v>
      </c>
      <c r="E10" s="12"/>
      <c r="F10" s="12"/>
      <c r="G10" s="12" t="s">
        <v>288</v>
      </c>
      <c r="H10" s="12"/>
      <c r="I10" s="12"/>
      <c r="J10" s="12" t="s">
        <v>290</v>
      </c>
      <c r="K10" s="12" t="s">
        <v>288</v>
      </c>
      <c r="L10" s="12" t="s">
        <v>291</v>
      </c>
      <c r="M10" s="12" t="s">
        <v>288</v>
      </c>
      <c r="N10" s="12" t="s">
        <v>288</v>
      </c>
      <c r="O10" s="12"/>
      <c r="P10" s="12"/>
      <c r="Q10" s="12"/>
      <c r="R10" s="12"/>
      <c r="S10" s="12" t="s">
        <v>291</v>
      </c>
      <c r="T10" s="12" t="s">
        <v>294</v>
      </c>
      <c r="U10" s="12" t="s">
        <v>288</v>
      </c>
    </row>
    <row r="11" spans="1:21" ht="30" customHeight="1">
      <c r="A11" s="10" t="s">
        <v>298</v>
      </c>
      <c r="B11" s="12"/>
      <c r="C11" s="12" t="s">
        <v>289</v>
      </c>
      <c r="D11" s="12" t="s">
        <v>288</v>
      </c>
      <c r="E11" s="12"/>
      <c r="F11" s="12" t="s">
        <v>288</v>
      </c>
      <c r="G11" s="12"/>
      <c r="H11" s="12" t="s">
        <v>290</v>
      </c>
      <c r="I11" s="12" t="s">
        <v>290</v>
      </c>
      <c r="J11" s="12" t="s">
        <v>290</v>
      </c>
      <c r="K11" s="12" t="s">
        <v>290</v>
      </c>
      <c r="L11" s="12"/>
      <c r="M11" s="12"/>
      <c r="N11" s="12" t="s">
        <v>288</v>
      </c>
      <c r="O11" s="12"/>
      <c r="P11" s="12"/>
      <c r="Q11" s="12"/>
      <c r="R11" s="12"/>
      <c r="S11" s="12" t="s">
        <v>290</v>
      </c>
      <c r="T11" s="12" t="s">
        <v>290</v>
      </c>
      <c r="U11" s="12" t="s">
        <v>290</v>
      </c>
    </row>
    <row r="12" spans="1:21" ht="30" customHeight="1">
      <c r="A12" s="10" t="s">
        <v>299</v>
      </c>
      <c r="B12" s="12"/>
      <c r="C12" s="12" t="s">
        <v>288</v>
      </c>
      <c r="D12" s="12" t="s">
        <v>288</v>
      </c>
      <c r="E12" s="12" t="s">
        <v>288</v>
      </c>
      <c r="F12" s="12"/>
      <c r="G12" s="12" t="s">
        <v>288</v>
      </c>
      <c r="H12" s="12"/>
      <c r="I12" s="12" t="s">
        <v>290</v>
      </c>
      <c r="J12" s="12" t="s">
        <v>290</v>
      </c>
      <c r="K12" s="12"/>
      <c r="L12" s="12" t="s">
        <v>290</v>
      </c>
      <c r="M12" s="12" t="s">
        <v>288</v>
      </c>
      <c r="N12" s="12" t="s">
        <v>291</v>
      </c>
      <c r="O12" s="12" t="s">
        <v>288</v>
      </c>
      <c r="P12" s="12"/>
      <c r="Q12" s="12"/>
      <c r="R12" s="12"/>
      <c r="S12" s="12" t="s">
        <v>290</v>
      </c>
      <c r="T12" s="12" t="s">
        <v>290</v>
      </c>
      <c r="U12" s="12" t="s">
        <v>291</v>
      </c>
    </row>
    <row r="13" spans="1:21" ht="30" customHeight="1">
      <c r="A13" s="10" t="s">
        <v>300</v>
      </c>
      <c r="B13" s="12" t="s">
        <v>294</v>
      </c>
      <c r="C13" s="12" t="s">
        <v>289</v>
      </c>
      <c r="D13" s="12" t="s">
        <v>288</v>
      </c>
      <c r="E13" s="12"/>
      <c r="F13" s="12"/>
      <c r="G13" s="12" t="s">
        <v>288</v>
      </c>
      <c r="H13" s="12"/>
      <c r="I13" s="12"/>
      <c r="J13" s="12"/>
      <c r="K13" s="12"/>
      <c r="L13" s="12" t="s">
        <v>288</v>
      </c>
      <c r="M13" s="12" t="s">
        <v>290</v>
      </c>
      <c r="N13" s="12" t="s">
        <v>290</v>
      </c>
      <c r="O13" s="12" t="s">
        <v>290</v>
      </c>
      <c r="P13" s="12" t="s">
        <v>288</v>
      </c>
      <c r="Q13" s="12" t="s">
        <v>290</v>
      </c>
      <c r="R13" s="12"/>
      <c r="S13" s="12" t="s">
        <v>290</v>
      </c>
      <c r="T13" s="12" t="s">
        <v>288</v>
      </c>
      <c r="U13" s="12" t="s">
        <v>291</v>
      </c>
    </row>
    <row r="14" spans="1:21" ht="30" customHeight="1">
      <c r="A14" s="10" t="s">
        <v>301</v>
      </c>
      <c r="B14" s="12" t="s">
        <v>289</v>
      </c>
      <c r="C14" s="12" t="s">
        <v>290</v>
      </c>
      <c r="D14" s="12" t="s">
        <v>290</v>
      </c>
      <c r="E14" s="12"/>
      <c r="F14" s="12" t="s">
        <v>288</v>
      </c>
      <c r="G14" s="12" t="s">
        <v>288</v>
      </c>
      <c r="H14" s="12"/>
      <c r="I14" s="12"/>
      <c r="J14" s="12"/>
      <c r="K14" s="12"/>
      <c r="L14" s="12"/>
      <c r="M14" s="12"/>
      <c r="N14" s="12" t="s">
        <v>288</v>
      </c>
      <c r="O14" s="12"/>
      <c r="P14" s="12" t="s">
        <v>291</v>
      </c>
      <c r="Q14" s="12" t="s">
        <v>288</v>
      </c>
      <c r="R14" s="12" t="s">
        <v>294</v>
      </c>
      <c r="S14" s="12" t="s">
        <v>290</v>
      </c>
      <c r="T14" s="12" t="s">
        <v>291</v>
      </c>
      <c r="U14" s="12" t="s">
        <v>290</v>
      </c>
    </row>
  </sheetData>
  <mergeCells count="2">
    <mergeCell ref="A1:T1"/>
    <mergeCell ref="A2:T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showGridLines="0" workbookViewId="0">
      <selection sqref="A1:D1"/>
    </sheetView>
  </sheetViews>
  <sheetFormatPr baseColWidth="10" defaultColWidth="9" defaultRowHeight="14.25"/>
  <cols>
    <col min="1" max="1" width="34" customWidth="1"/>
    <col min="2" max="2" width="26" customWidth="1"/>
    <col min="3" max="3" width="66" customWidth="1"/>
  </cols>
  <sheetData>
    <row r="1" spans="1:4" ht="27.95" customHeight="1">
      <c r="A1" s="49" t="s">
        <v>302</v>
      </c>
      <c r="B1" s="49"/>
      <c r="C1" s="49"/>
      <c r="D1" s="51"/>
    </row>
    <row r="2" spans="1:4" ht="23.1" customHeight="1">
      <c r="A2" s="50"/>
      <c r="B2" s="50"/>
      <c r="C2" s="50"/>
      <c r="D2" s="51"/>
    </row>
    <row r="3" spans="1:4" ht="24" customHeight="1">
      <c r="A3" s="8" t="s">
        <v>303</v>
      </c>
      <c r="B3" s="8" t="s">
        <v>304</v>
      </c>
      <c r="C3" s="8" t="s">
        <v>305</v>
      </c>
    </row>
    <row r="4" spans="1:4" ht="35.1" customHeight="1">
      <c r="A4" s="9" t="s">
        <v>306</v>
      </c>
      <c r="B4" s="9" t="s">
        <v>307</v>
      </c>
      <c r="C4" s="9" t="s">
        <v>308</v>
      </c>
    </row>
    <row r="5" spans="1:4" ht="35.1" customHeight="1">
      <c r="A5" s="10" t="s">
        <v>309</v>
      </c>
      <c r="B5" s="10" t="s">
        <v>47</v>
      </c>
      <c r="C5" s="10" t="s">
        <v>310</v>
      </c>
    </row>
    <row r="6" spans="1:4" ht="35.1" customHeight="1">
      <c r="A6" s="10" t="s">
        <v>311</v>
      </c>
      <c r="B6" s="10" t="s">
        <v>75</v>
      </c>
      <c r="C6" s="10" t="s">
        <v>312</v>
      </c>
    </row>
    <row r="7" spans="1:4" ht="35.1" customHeight="1">
      <c r="A7" s="10" t="s">
        <v>313</v>
      </c>
      <c r="B7" s="10" t="s">
        <v>75</v>
      </c>
      <c r="C7" s="10" t="s">
        <v>314</v>
      </c>
    </row>
    <row r="8" spans="1:4" ht="35.1" customHeight="1">
      <c r="A8" s="10" t="s">
        <v>315</v>
      </c>
      <c r="B8" s="10" t="s">
        <v>47</v>
      </c>
      <c r="C8" s="10" t="s">
        <v>316</v>
      </c>
    </row>
    <row r="9" spans="1:4" ht="35.1" customHeight="1">
      <c r="A9" s="10" t="s">
        <v>317</v>
      </c>
      <c r="B9" s="10" t="s">
        <v>286</v>
      </c>
      <c r="C9" s="10" t="s">
        <v>318</v>
      </c>
    </row>
    <row r="10" spans="1:4" ht="35.1" customHeight="1">
      <c r="A10" s="10" t="s">
        <v>319</v>
      </c>
      <c r="B10" s="10" t="s">
        <v>47</v>
      </c>
      <c r="C10" s="10" t="s">
        <v>320</v>
      </c>
    </row>
    <row r="11" spans="1:4" ht="35.1" customHeight="1">
      <c r="A11" s="10" t="s">
        <v>321</v>
      </c>
      <c r="B11" s="10" t="s">
        <v>47</v>
      </c>
      <c r="C11" s="10" t="s">
        <v>322</v>
      </c>
    </row>
    <row r="12" spans="1:4" ht="35.1" customHeight="1">
      <c r="A12" s="10" t="s">
        <v>323</v>
      </c>
      <c r="B12" s="10" t="s">
        <v>75</v>
      </c>
      <c r="C12" s="10" t="s">
        <v>324</v>
      </c>
    </row>
    <row r="13" spans="1:4" ht="35.1" customHeight="1">
      <c r="A13" s="10" t="s">
        <v>325</v>
      </c>
      <c r="B13" s="10" t="s">
        <v>286</v>
      </c>
      <c r="C13" s="10" t="s">
        <v>326</v>
      </c>
    </row>
    <row r="14" spans="1:4" ht="35.1" customHeight="1">
      <c r="A14" s="10" t="s">
        <v>187</v>
      </c>
      <c r="B14" s="10" t="s">
        <v>75</v>
      </c>
      <c r="C14" s="10" t="s">
        <v>327</v>
      </c>
    </row>
    <row r="15" spans="1:4" ht="35.1" customHeight="1">
      <c r="A15" s="10" t="s">
        <v>328</v>
      </c>
      <c r="B15" s="10" t="s">
        <v>75</v>
      </c>
      <c r="C15" s="10" t="s">
        <v>329</v>
      </c>
    </row>
    <row r="16" spans="1:4" ht="35.1" customHeight="1">
      <c r="A16" s="10" t="s">
        <v>330</v>
      </c>
      <c r="B16" s="10" t="s">
        <v>286</v>
      </c>
      <c r="C16" s="10" t="s">
        <v>331</v>
      </c>
    </row>
    <row r="17" spans="1:3" ht="35.1" customHeight="1">
      <c r="A17" s="10" t="s">
        <v>332</v>
      </c>
      <c r="B17" s="10" t="s">
        <v>286</v>
      </c>
      <c r="C17" s="10" t="s">
        <v>333</v>
      </c>
    </row>
    <row r="18" spans="1:3" ht="35.1" customHeight="1">
      <c r="A18" s="10" t="s">
        <v>334</v>
      </c>
      <c r="B18" s="10" t="s">
        <v>47</v>
      </c>
      <c r="C18" s="10" t="s">
        <v>335</v>
      </c>
    </row>
    <row r="19" spans="1:3" ht="35.1" customHeight="1">
      <c r="A19" s="10" t="s">
        <v>336</v>
      </c>
      <c r="B19" s="10" t="s">
        <v>286</v>
      </c>
      <c r="C19" s="10" t="s">
        <v>337</v>
      </c>
    </row>
    <row r="20" spans="1:3" ht="35.1" customHeight="1">
      <c r="A20" s="10" t="s">
        <v>338</v>
      </c>
      <c r="B20" s="10" t="s">
        <v>339</v>
      </c>
      <c r="C20" s="10" t="s">
        <v>340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showGridLines="0" workbookViewId="0">
      <selection sqref="A1:D1"/>
    </sheetView>
  </sheetViews>
  <sheetFormatPr baseColWidth="10" defaultColWidth="9" defaultRowHeight="14.25"/>
  <cols>
    <col min="1" max="1" width="10" customWidth="1"/>
    <col min="2" max="3" width="16" customWidth="1"/>
    <col min="4" max="4" width="54" customWidth="1"/>
  </cols>
  <sheetData>
    <row r="1" spans="1:4" ht="27.95" customHeight="1">
      <c r="A1" s="52" t="s">
        <v>341</v>
      </c>
      <c r="B1" s="52"/>
      <c r="C1" s="52"/>
      <c r="D1" s="52"/>
    </row>
    <row r="2" spans="1:4" ht="33.950000000000003" customHeight="1">
      <c r="A2" s="53" t="s">
        <v>342</v>
      </c>
      <c r="B2" s="53"/>
      <c r="C2" s="53"/>
      <c r="D2" s="53"/>
    </row>
    <row r="3" spans="1:4" ht="36" customHeight="1">
      <c r="A3" s="1" t="s">
        <v>343</v>
      </c>
      <c r="B3" s="2" t="s">
        <v>6</v>
      </c>
      <c r="C3" s="2" t="s">
        <v>344</v>
      </c>
      <c r="D3" s="3" t="s">
        <v>345</v>
      </c>
    </row>
    <row r="4" spans="1:4" ht="48" customHeight="1">
      <c r="A4" s="4">
        <v>1</v>
      </c>
      <c r="B4" s="5">
        <v>46244</v>
      </c>
      <c r="C4" s="5">
        <v>46249</v>
      </c>
      <c r="D4" s="4" t="s">
        <v>346</v>
      </c>
    </row>
    <row r="5" spans="1:4" ht="36" customHeight="1">
      <c r="A5" s="4">
        <v>2</v>
      </c>
      <c r="B5" s="5">
        <v>46251</v>
      </c>
      <c r="C5" s="5">
        <v>46256</v>
      </c>
      <c r="D5" s="4" t="s">
        <v>347</v>
      </c>
    </row>
    <row r="6" spans="1:4" ht="36" customHeight="1">
      <c r="A6" s="4">
        <v>3</v>
      </c>
      <c r="B6" s="5">
        <v>46258</v>
      </c>
      <c r="C6" s="5">
        <v>46263</v>
      </c>
      <c r="D6" s="4" t="s">
        <v>348</v>
      </c>
    </row>
    <row r="7" spans="1:4" ht="24" customHeight="1">
      <c r="A7" s="4">
        <v>4</v>
      </c>
      <c r="B7" s="5">
        <v>46265</v>
      </c>
      <c r="C7" s="5">
        <v>46270</v>
      </c>
      <c r="D7" s="4" t="s">
        <v>349</v>
      </c>
    </row>
    <row r="8" spans="1:4" ht="24" customHeight="1">
      <c r="A8" s="4">
        <v>5</v>
      </c>
      <c r="B8" s="5">
        <v>46272</v>
      </c>
      <c r="C8" s="5">
        <v>46277</v>
      </c>
      <c r="D8" s="4" t="s">
        <v>350</v>
      </c>
    </row>
    <row r="9" spans="1:4" ht="48" customHeight="1">
      <c r="A9" s="4">
        <v>6</v>
      </c>
      <c r="B9" s="5">
        <v>46279</v>
      </c>
      <c r="C9" s="5">
        <v>46284</v>
      </c>
      <c r="D9" s="4" t="s">
        <v>351</v>
      </c>
    </row>
    <row r="10" spans="1:4" ht="15" customHeight="1">
      <c r="A10" s="4">
        <v>7</v>
      </c>
      <c r="B10" s="5">
        <v>46286</v>
      </c>
      <c r="C10" s="5">
        <v>46291</v>
      </c>
      <c r="D10" s="4" t="s">
        <v>352</v>
      </c>
    </row>
    <row r="11" spans="1:4" ht="36" customHeight="1">
      <c r="A11" s="4">
        <v>8</v>
      </c>
      <c r="B11" s="5">
        <v>46293</v>
      </c>
      <c r="C11" s="5">
        <v>46298</v>
      </c>
      <c r="D11" s="4" t="s">
        <v>353</v>
      </c>
    </row>
    <row r="12" spans="1:4" ht="24" customHeight="1">
      <c r="A12" s="4">
        <v>9</v>
      </c>
      <c r="B12" s="5">
        <v>46300</v>
      </c>
      <c r="C12" s="5">
        <v>46305</v>
      </c>
      <c r="D12" s="4" t="s">
        <v>354</v>
      </c>
    </row>
    <row r="13" spans="1:4" ht="24" customHeight="1">
      <c r="A13" s="4">
        <v>10</v>
      </c>
      <c r="B13" s="5">
        <v>46307</v>
      </c>
      <c r="C13" s="5">
        <v>46312</v>
      </c>
      <c r="D13" s="4" t="s">
        <v>355</v>
      </c>
    </row>
    <row r="14" spans="1:4" ht="24" customHeight="1">
      <c r="A14" s="4">
        <v>11</v>
      </c>
      <c r="B14" s="5">
        <v>46314</v>
      </c>
      <c r="C14" s="5">
        <v>46319</v>
      </c>
      <c r="D14" s="4" t="s">
        <v>356</v>
      </c>
    </row>
    <row r="15" spans="1:4" ht="15" customHeight="1">
      <c r="A15" s="4">
        <v>12</v>
      </c>
      <c r="B15" s="5">
        <v>46321</v>
      </c>
      <c r="C15" s="5">
        <v>46326</v>
      </c>
      <c r="D15" s="4" t="s">
        <v>352</v>
      </c>
    </row>
    <row r="16" spans="1:4" ht="15" customHeight="1">
      <c r="A16" s="4">
        <v>13</v>
      </c>
      <c r="B16" s="5">
        <v>46328</v>
      </c>
      <c r="C16" s="5">
        <v>46333</v>
      </c>
      <c r="D16" s="4" t="s">
        <v>352</v>
      </c>
    </row>
    <row r="17" spans="1:4" ht="15" customHeight="1">
      <c r="A17" s="4">
        <v>14</v>
      </c>
      <c r="B17" s="5">
        <v>46335</v>
      </c>
      <c r="C17" s="5">
        <v>46340</v>
      </c>
      <c r="D17" s="4" t="s">
        <v>352</v>
      </c>
    </row>
    <row r="18" spans="1:4" ht="24" customHeight="1">
      <c r="A18" s="4">
        <v>15</v>
      </c>
      <c r="B18" s="5">
        <v>46342</v>
      </c>
      <c r="C18" s="5">
        <v>46347</v>
      </c>
      <c r="D18" s="4" t="s">
        <v>357</v>
      </c>
    </row>
    <row r="19" spans="1:4" ht="24" customHeight="1">
      <c r="A19" s="4">
        <v>16</v>
      </c>
      <c r="B19" s="5">
        <v>46349</v>
      </c>
      <c r="C19" s="5">
        <v>46354</v>
      </c>
      <c r="D19" s="4" t="s">
        <v>358</v>
      </c>
    </row>
    <row r="20" spans="1:4" ht="24" customHeight="1">
      <c r="A20" s="4">
        <v>17</v>
      </c>
      <c r="B20" s="5">
        <v>46356</v>
      </c>
      <c r="C20" s="5">
        <v>46361</v>
      </c>
      <c r="D20" s="4" t="s">
        <v>359</v>
      </c>
    </row>
    <row r="21" spans="1:4" ht="48" customHeight="1">
      <c r="A21" s="4">
        <v>18</v>
      </c>
      <c r="B21" s="5">
        <v>46363</v>
      </c>
      <c r="C21" s="5">
        <v>46368</v>
      </c>
      <c r="D21" s="4" t="s">
        <v>360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>
      <selection sqref="A1:G1"/>
    </sheetView>
  </sheetViews>
  <sheetFormatPr baseColWidth="10" defaultColWidth="9" defaultRowHeight="14.25"/>
  <cols>
    <col min="1" max="1" width="25" customWidth="1"/>
    <col min="2" max="2" width="28" customWidth="1"/>
    <col min="3" max="3" width="52" customWidth="1"/>
    <col min="4" max="4" width="18" customWidth="1"/>
    <col min="5" max="5" width="32" customWidth="1"/>
    <col min="6" max="6" width="34" customWidth="1"/>
    <col min="7" max="7" width="29" customWidth="1"/>
  </cols>
  <sheetData>
    <row r="1" spans="1:7" ht="27.95" customHeight="1">
      <c r="A1" s="49" t="s">
        <v>361</v>
      </c>
      <c r="B1" s="49"/>
      <c r="C1" s="49"/>
      <c r="D1" s="49"/>
      <c r="E1" s="49"/>
      <c r="F1" s="49"/>
      <c r="G1" s="49"/>
    </row>
    <row r="2" spans="1:7" ht="23.1" customHeight="1">
      <c r="A2" s="50" t="s">
        <v>362</v>
      </c>
      <c r="B2" s="50"/>
      <c r="C2" s="50"/>
      <c r="D2" s="50"/>
      <c r="E2" s="50"/>
      <c r="F2" s="50"/>
      <c r="G2" s="50"/>
    </row>
    <row r="3" spans="1:7">
      <c r="A3" s="8" t="s">
        <v>363</v>
      </c>
      <c r="B3" s="8" t="s">
        <v>209</v>
      </c>
      <c r="C3" s="8" t="s">
        <v>364</v>
      </c>
      <c r="D3" s="8" t="s">
        <v>365</v>
      </c>
      <c r="E3" s="8" t="s">
        <v>366</v>
      </c>
      <c r="F3" s="8" t="s">
        <v>367</v>
      </c>
      <c r="G3" s="8" t="s">
        <v>11</v>
      </c>
    </row>
    <row r="4" spans="1:7" ht="42.95" customHeight="1">
      <c r="A4" s="9" t="s">
        <v>368</v>
      </c>
      <c r="B4" s="9" t="s">
        <v>369</v>
      </c>
      <c r="C4" s="9" t="s">
        <v>370</v>
      </c>
      <c r="D4" s="9" t="s">
        <v>216</v>
      </c>
      <c r="E4" s="9" t="s">
        <v>371</v>
      </c>
      <c r="F4" s="9" t="s">
        <v>372</v>
      </c>
      <c r="G4" s="9" t="s">
        <v>373</v>
      </c>
    </row>
    <row r="5" spans="1:7" ht="42.95" customHeight="1">
      <c r="A5" s="10" t="s">
        <v>374</v>
      </c>
      <c r="B5" s="10" t="s">
        <v>375</v>
      </c>
      <c r="C5" s="10" t="s">
        <v>376</v>
      </c>
      <c r="D5" s="10" t="s">
        <v>377</v>
      </c>
      <c r="E5" s="10" t="s">
        <v>378</v>
      </c>
      <c r="F5" s="10" t="s">
        <v>379</v>
      </c>
      <c r="G5" s="10" t="s">
        <v>380</v>
      </c>
    </row>
    <row r="6" spans="1:7" ht="42.95" customHeight="1">
      <c r="A6" s="10" t="s">
        <v>381</v>
      </c>
      <c r="B6" s="10" t="s">
        <v>382</v>
      </c>
      <c r="C6" s="10" t="s">
        <v>383</v>
      </c>
      <c r="D6" s="10" t="s">
        <v>384</v>
      </c>
      <c r="E6" s="10" t="s">
        <v>385</v>
      </c>
      <c r="F6" s="10" t="s">
        <v>386</v>
      </c>
      <c r="G6" s="10" t="s">
        <v>387</v>
      </c>
    </row>
    <row r="7" spans="1:7" ht="42.95" customHeight="1">
      <c r="A7" s="10" t="s">
        <v>388</v>
      </c>
      <c r="B7" s="10" t="s">
        <v>389</v>
      </c>
      <c r="C7" s="10" t="s">
        <v>390</v>
      </c>
      <c r="D7" s="10" t="s">
        <v>391</v>
      </c>
      <c r="E7" s="10" t="s">
        <v>392</v>
      </c>
      <c r="F7" s="10" t="s">
        <v>393</v>
      </c>
      <c r="G7" s="10" t="s">
        <v>394</v>
      </c>
    </row>
    <row r="8" spans="1:7" ht="42.95" customHeight="1">
      <c r="A8" s="10" t="s">
        <v>395</v>
      </c>
      <c r="B8" s="10" t="s">
        <v>389</v>
      </c>
      <c r="C8" s="10" t="s">
        <v>396</v>
      </c>
      <c r="D8" s="10" t="s">
        <v>391</v>
      </c>
      <c r="E8" s="10" t="s">
        <v>397</v>
      </c>
      <c r="F8" s="10" t="s">
        <v>398</v>
      </c>
      <c r="G8" s="10" t="s">
        <v>373</v>
      </c>
    </row>
    <row r="9" spans="1:7" ht="42.95" customHeight="1">
      <c r="A9" s="10" t="s">
        <v>399</v>
      </c>
      <c r="B9" s="10" t="s">
        <v>382</v>
      </c>
      <c r="C9" s="10" t="s">
        <v>400</v>
      </c>
      <c r="D9" s="10" t="s">
        <v>216</v>
      </c>
      <c r="E9" s="10" t="s">
        <v>401</v>
      </c>
      <c r="F9" s="10" t="s">
        <v>402</v>
      </c>
      <c r="G9" s="10" t="s">
        <v>403</v>
      </c>
    </row>
    <row r="10" spans="1:7" ht="42.95" customHeight="1">
      <c r="A10" s="10" t="s">
        <v>404</v>
      </c>
      <c r="B10" s="10" t="s">
        <v>217</v>
      </c>
      <c r="C10" s="10" t="s">
        <v>405</v>
      </c>
      <c r="D10" s="10" t="s">
        <v>216</v>
      </c>
      <c r="E10" s="10" t="s">
        <v>406</v>
      </c>
      <c r="F10" s="10" t="s">
        <v>179</v>
      </c>
      <c r="G10" s="10" t="s">
        <v>407</v>
      </c>
    </row>
    <row r="11" spans="1:7" ht="42.95" customHeight="1">
      <c r="A11" s="10" t="s">
        <v>408</v>
      </c>
      <c r="B11" s="10" t="s">
        <v>409</v>
      </c>
      <c r="C11" s="10" t="s">
        <v>410</v>
      </c>
      <c r="D11" s="10" t="s">
        <v>216</v>
      </c>
      <c r="E11" s="10" t="s">
        <v>411</v>
      </c>
      <c r="F11" s="10" t="s">
        <v>412</v>
      </c>
      <c r="G11" s="10" t="s">
        <v>413</v>
      </c>
    </row>
    <row r="12" spans="1:7" ht="42.95" customHeight="1">
      <c r="A12" s="10" t="s">
        <v>414</v>
      </c>
      <c r="B12" s="10" t="s">
        <v>415</v>
      </c>
      <c r="C12" s="10" t="s">
        <v>416</v>
      </c>
      <c r="D12" s="10" t="s">
        <v>417</v>
      </c>
      <c r="E12" s="10" t="s">
        <v>418</v>
      </c>
      <c r="F12" s="10" t="s">
        <v>419</v>
      </c>
      <c r="G12" s="10" t="s">
        <v>420</v>
      </c>
    </row>
    <row r="13" spans="1:7" ht="42.95" customHeight="1">
      <c r="A13" s="10" t="s">
        <v>421</v>
      </c>
      <c r="B13" s="10" t="s">
        <v>422</v>
      </c>
      <c r="C13" s="10" t="s">
        <v>423</v>
      </c>
      <c r="D13" s="10" t="s">
        <v>424</v>
      </c>
      <c r="E13" s="10" t="s">
        <v>425</v>
      </c>
      <c r="F13" s="10" t="s">
        <v>198</v>
      </c>
      <c r="G13" s="10" t="s">
        <v>426</v>
      </c>
    </row>
    <row r="14" spans="1:7" ht="42.95" customHeight="1">
      <c r="A14" s="10" t="s">
        <v>187</v>
      </c>
      <c r="B14" s="10" t="s">
        <v>427</v>
      </c>
      <c r="C14" s="10" t="s">
        <v>428</v>
      </c>
      <c r="D14" s="10" t="s">
        <v>244</v>
      </c>
      <c r="E14" s="10" t="s">
        <v>429</v>
      </c>
      <c r="F14" s="10" t="s">
        <v>430</v>
      </c>
      <c r="G14" s="10" t="s">
        <v>431</v>
      </c>
    </row>
    <row r="15" spans="1:7" ht="42.95" customHeight="1">
      <c r="A15" s="10" t="s">
        <v>432</v>
      </c>
      <c r="B15" s="10" t="s">
        <v>433</v>
      </c>
      <c r="C15" s="10" t="s">
        <v>434</v>
      </c>
      <c r="D15" s="10" t="s">
        <v>435</v>
      </c>
      <c r="E15" s="10" t="s">
        <v>436</v>
      </c>
      <c r="F15" s="10" t="s">
        <v>437</v>
      </c>
      <c r="G15" s="10" t="s">
        <v>438</v>
      </c>
    </row>
    <row r="16" spans="1:7" ht="42.95" customHeight="1">
      <c r="A16" s="10" t="s">
        <v>439</v>
      </c>
      <c r="B16" s="10" t="s">
        <v>440</v>
      </c>
      <c r="C16" s="10" t="s">
        <v>441</v>
      </c>
      <c r="D16" s="10" t="s">
        <v>442</v>
      </c>
      <c r="E16" s="10" t="s">
        <v>443</v>
      </c>
      <c r="F16" s="10" t="s">
        <v>444</v>
      </c>
      <c r="G16" s="10" t="s">
        <v>445</v>
      </c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Gantt</vt:lpstr>
      <vt:lpstr>Plan_Trabajo</vt:lpstr>
      <vt:lpstr>RACI</vt:lpstr>
      <vt:lpstr>Roles</vt:lpstr>
      <vt:lpstr>Calendario</vt:lpstr>
      <vt:lpstr>Control_Scrum_QA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Tsung-Hao Liu</cp:lastModifiedBy>
  <dcterms:modified xsi:type="dcterms:W3CDTF">2026-09-02T00:55:04Z</dcterms:modified>
</cp:coreProperties>
</file>