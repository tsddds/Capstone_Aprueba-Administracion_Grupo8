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133794638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uimiento" sheetId="1" r:id="R49defd40de744d38"/>
    <x:sheet xmlns:r="http://schemas.openxmlformats.org/officeDocument/2006/relationships" name="Pruebas" sheetId="2" r:id="R703d7ccc4716496f"/>
    <x:sheet xmlns:r="http://schemas.openxmlformats.org/officeDocument/2006/relationships" name="Rúbrica" sheetId="3" r:id="Rddbcffc846c04254"/>
    <x:sheet xmlns:r="http://schemas.openxmlformats.org/officeDocument/2006/relationships" name="Pendientes" sheetId="4" r:id="Rd3792afabc11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B53"/>
      <x:name val="Calibri"/>
    </x:font>
    <x:font>
      <x:b/>
      <x:sz val="17"/>
      <x:color rgb="FF203864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EF4FA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634470d1b4882" /><Relationship Type="http://schemas.openxmlformats.org/officeDocument/2006/relationships/theme" Target="/xl/theme/theme1.xml" Id="Reae1b1e269324e0a" /><Relationship Type="http://schemas.openxmlformats.org/officeDocument/2006/relationships/sharedStrings" Target="/xl/sharedStrings.xml" Id="Rdd9606189a67499a" /><Relationship Type="http://schemas.openxmlformats.org/officeDocument/2006/relationships/worksheet" Target="/xl/worksheets/sheet1.xml" Id="R49defd40de744d38" /><Relationship Type="http://schemas.openxmlformats.org/officeDocument/2006/relationships/worksheet" Target="/xl/worksheets/sheet2.xml" Id="R703d7ccc4716496f" /><Relationship Type="http://schemas.openxmlformats.org/officeDocument/2006/relationships/worksheet" Target="/xl/worksheets/sheet3.xml" Id="Rddbcffc846c04254" /><Relationship Type="http://schemas.openxmlformats.org/officeDocument/2006/relationships/worksheet" Target="/xl/worksheets/sheet4.xml" Id="Rd3792afabc1143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49" hidden="0" customWidth="1"/>
    <x:col min="4" max="4" width="17" hidden="0" customWidth="1"/>
    <x:col min="5" max="5" width="17" hidden="0" customWidth="1"/>
    <x:col min="6" max="6" width="21" hidden="0" customWidth="1"/>
    <x:col min="7" max="7" width="20" hidden="0" customWidth="1"/>
    <x:col min="8" max="8" width="29" hidden="0" customWidth="1"/>
  </x:cols>
  <x:sheetData>
    <x:row r="1" ht="32" customHeight="1">
      <x:c r="A1" s="2" t="str">
        <x:v>Seguimiento grupal de Aprueba Administración</x:v>
      </x:c>
      <x:c r="B1" s="1"/>
      <x:c r="C1" s="1"/>
      <x:c r="D1" s="1"/>
      <x:c r="E1" s="1"/>
      <x:c r="F1" s="1"/>
      <x:c r="G1" s="1"/>
      <x:c r="H1" s="1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1" t="str">
        <x:v>Corte técnico 27/10/2026. Integración de los tres bloques; revisión del equipo pendiente.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5" t="str">
        <x:v>Endpoint</x:v>
      </x:c>
      <x:c r="B5" s="5" t="str">
        <x:v>Sprint</x:v>
      </x:c>
      <x:c r="C5" s="5" t="str">
        <x:v>Función</x:v>
      </x:c>
      <x:c r="D5" s="5" t="str">
        <x:v>Responsable</x:v>
      </x:c>
      <x:c r="E5" s="5" t="str">
        <x:v>Implementación</x:v>
      </x:c>
      <x:c r="F5" s="5" t="str">
        <x:v>Pruebas locales</x:v>
      </x:c>
      <x:c r="G5" s="5" t="str">
        <x:v>Revisión de pares</x:v>
      </x:c>
      <x:c r="H5" s="5" t="str">
        <x:v>Aceptación</x:v>
      </x:c>
    </x:row>
    <x:row r="6" ht="48" customHeight="1">
      <x:c r="A6" s="9" t="str">
        <x:v>E01</x:v>
      </x:c>
      <x:c r="B6" s="9" t="n">
        <x:v>1</x:v>
      </x:c>
      <x:c r="C6" s="9" t="str">
        <x:v>POST /admin/auth/login</x:v>
      </x:c>
      <x:c r="D6" s="9" t="str">
        <x:v>Tsung-Hao</x:v>
      </x:c>
      <x:c r="E6" s="9" t="str">
        <x:v>Implementada</x:v>
      </x:c>
      <x:c r="F6" s="9" t="str">
        <x:v>Aprobadas</x:v>
      </x:c>
      <x:c r="G6" s="10" t="str">
        <x:v>Pendiente</x:v>
      </x:c>
      <x:c r="H6" s="9" t="str">
        <x:f>IF(F6&lt;&gt;"Aprobadas","Validación externa pendiente",IF(G6="Aprobada","Aceptado","Revisión pendiente"))</x:f>
        <x:v>Revisión pendiente</x:v>
      </x:c>
    </x:row>
    <x:row r="7" ht="48" customHeight="1">
      <x:c r="A7" s="8" t="str">
        <x:v>E02</x:v>
      </x:c>
      <x:c r="B7" s="8" t="n">
        <x:v>4</x:v>
      </x:c>
      <x:c r="C7" s="8" t="str">
        <x:v>GET /admin/metrics/overview</x:v>
      </x:c>
      <x:c r="D7" s="8" t="str">
        <x:v>Felipe</x:v>
      </x:c>
      <x:c r="E7" s="8" t="str">
        <x:v>Implementada</x:v>
      </x:c>
      <x:c r="F7" s="8" t="str">
        <x:v>Aprobadas</x:v>
      </x:c>
      <x:c r="G7" s="10" t="str">
        <x:v>Pendiente</x:v>
      </x:c>
      <x:c r="H7" s="8" t="str">
        <x:f>IF(F7&lt;&gt;"Aprobadas","Validación externa pendiente",IF(G7="Aprobada","Aceptado","Revisión pendiente"))</x:f>
        <x:v>Revisión pendiente</x:v>
      </x:c>
    </x:row>
    <x:row r="8" ht="48" customHeight="1">
      <x:c r="A8" s="9" t="str">
        <x:v>E03</x:v>
      </x:c>
      <x:c r="B8" s="9" t="n">
        <x:v>4</x:v>
      </x:c>
      <x:c r="C8" s="9" t="str">
        <x:v>GET /admin/metrics/commercial</x:v>
      </x:c>
      <x:c r="D8" s="9" t="str">
        <x:v>Felipe</x:v>
      </x:c>
      <x:c r="E8" s="9" t="str">
        <x:v>Implementada</x:v>
      </x:c>
      <x:c r="F8" s="9" t="str">
        <x:v>Aprobadas</x:v>
      </x:c>
      <x:c r="G8" s="10" t="str">
        <x:v>Pendiente</x:v>
      </x:c>
      <x:c r="H8" s="9" t="str">
        <x:f>IF(F8&lt;&gt;"Aprobadas","Validación externa pendiente",IF(G8="Aprobada","Aceptado","Revisión pendiente"))</x:f>
        <x:v>Revisión pendiente</x:v>
      </x:c>
    </x:row>
    <x:row r="9" ht="48" customHeight="1">
      <x:c r="A9" s="8" t="str">
        <x:v>E04</x:v>
      </x:c>
      <x:c r="B9" s="8" t="n">
        <x:v>1</x:v>
      </x:c>
      <x:c r="C9" s="8" t="str">
        <x:v>GET /admin/sponsors</x:v>
      </x:c>
      <x:c r="D9" s="8" t="str">
        <x:v>Catalina</x:v>
      </x:c>
      <x:c r="E9" s="8" t="str">
        <x:v>Implementada</x:v>
      </x:c>
      <x:c r="F9" s="8" t="str">
        <x:v>Aprobadas</x:v>
      </x:c>
      <x:c r="G9" s="10" t="str">
        <x:v>Pendiente</x:v>
      </x:c>
      <x:c r="H9" s="8" t="str">
        <x:f>IF(F9&lt;&gt;"Aprobadas","Validación externa pendiente",IF(G9="Aprobada","Aceptado","Revisión pendiente"))</x:f>
        <x:v>Revisión pendiente</x:v>
      </x:c>
    </x:row>
    <x:row r="10" ht="48" customHeight="1">
      <x:c r="A10" s="9" t="str">
        <x:v>E05</x:v>
      </x:c>
      <x:c r="B10" s="9" t="n">
        <x:v>1</x:v>
      </x:c>
      <x:c r="C10" s="9" t="str">
        <x:v>POST /admin/sponsors</x:v>
      </x:c>
      <x:c r="D10" s="9" t="str">
        <x:v>Catalina</x:v>
      </x:c>
      <x:c r="E10" s="9" t="str">
        <x:v>Implementada</x:v>
      </x:c>
      <x:c r="F10" s="9" t="str">
        <x:v>Aprobadas</x:v>
      </x:c>
      <x:c r="G10" s="10" t="str">
        <x:v>Pendiente</x:v>
      </x:c>
      <x:c r="H10" s="9" t="str">
        <x:f>IF(F10&lt;&gt;"Aprobadas","Validación externa pendiente",IF(G10="Aprobada","Aceptado","Revisión pendiente"))</x:f>
        <x:v>Revisión pendiente</x:v>
      </x:c>
    </x:row>
    <x:row r="11" ht="48" customHeight="1">
      <x:c r="A11" s="8" t="str">
        <x:v>E06</x:v>
      </x:c>
      <x:c r="B11" s="8" t="n">
        <x:v>1</x:v>
      </x:c>
      <x:c r="C11" s="8" t="str">
        <x:v>PATCH /admin/sponsors/{id}</x:v>
      </x:c>
      <x:c r="D11" s="8" t="str">
        <x:v>Catalina</x:v>
      </x:c>
      <x:c r="E11" s="8" t="str">
        <x:v>Implementada</x:v>
      </x:c>
      <x:c r="F11" s="8" t="str">
        <x:v>Aprobadas</x:v>
      </x:c>
      <x:c r="G11" s="10" t="str">
        <x:v>Pendiente</x:v>
      </x:c>
      <x:c r="H11" s="8" t="str">
        <x:f>IF(F11&lt;&gt;"Aprobadas","Validación externa pendiente",IF(G11="Aprobada","Aceptado","Revisión pendiente"))</x:f>
        <x:v>Revisión pendiente</x:v>
      </x:c>
    </x:row>
    <x:row r="12" ht="48" customHeight="1">
      <x:c r="A12" s="9" t="str">
        <x:v>E07</x:v>
      </x:c>
      <x:c r="B12" s="9" t="n">
        <x:v>1</x:v>
      </x:c>
      <x:c r="C12" s="9" t="str">
        <x:v>DELETE /admin/sponsors/{id}</x:v>
      </x:c>
      <x:c r="D12" s="9" t="str">
        <x:v>Catalina</x:v>
      </x:c>
      <x:c r="E12" s="9" t="str">
        <x:v>Implementada</x:v>
      </x:c>
      <x:c r="F12" s="9" t="str">
        <x:v>Aprobadas</x:v>
      </x:c>
      <x:c r="G12" s="10" t="str">
        <x:v>Pendiente</x:v>
      </x:c>
      <x:c r="H12" s="9" t="str">
        <x:f>IF(F12&lt;&gt;"Aprobadas","Validación externa pendiente",IF(G12="Aprobada","Aceptado","Revisión pendiente"))</x:f>
        <x:v>Revisión pendiente</x:v>
      </x:c>
    </x:row>
    <x:row r="13" ht="48" customHeight="1">
      <x:c r="A13" s="8" t="str">
        <x:v>E08</x:v>
      </x:c>
      <x:c r="B13" s="8" t="n">
        <x:v>3</x:v>
      </x:c>
      <x:c r="C13" s="8" t="str">
        <x:v>GET /admin/platforms</x:v>
      </x:c>
      <x:c r="D13" s="8" t="str">
        <x:v>Tsung-Hao</x:v>
      </x:c>
      <x:c r="E13" s="8" t="str">
        <x:v>Implementada</x:v>
      </x:c>
      <x:c r="F13" s="8" t="str">
        <x:v>Aprobadas</x:v>
      </x:c>
      <x:c r="G13" s="10" t="str">
        <x:v>Pendiente</x:v>
      </x:c>
      <x:c r="H13" s="8" t="str">
        <x:f>IF(F13&lt;&gt;"Aprobadas","Validación externa pendiente",IF(G13="Aprobada","Aceptado","Revisión pendiente"))</x:f>
        <x:v>Revisión pendiente</x:v>
      </x:c>
    </x:row>
    <x:row r="14" ht="48" customHeight="1">
      <x:c r="A14" s="9" t="str">
        <x:v>E09</x:v>
      </x:c>
      <x:c r="B14" s="9" t="n">
        <x:v>4</x:v>
      </x:c>
      <x:c r="C14" s="9" t="str">
        <x:v>GET /admin/services</x:v>
      </x:c>
      <x:c r="D14" s="9" t="str">
        <x:v>Tsung-Hao</x:v>
      </x:c>
      <x:c r="E14" s="9" t="str">
        <x:v>Implementada</x:v>
      </x:c>
      <x:c r="F14" s="9" t="str">
        <x:v>Aprobadas</x:v>
      </x:c>
      <x:c r="G14" s="10" t="str">
        <x:v>Pendiente</x:v>
      </x:c>
      <x:c r="H14" s="9" t="str">
        <x:f>IF(F14&lt;&gt;"Aprobadas","Validación externa pendiente",IF(G14="Aprobada","Aceptado","Revisión pendiente"))</x:f>
        <x:v>Revisión pendiente</x:v>
      </x:c>
    </x:row>
    <x:row r="15" ht="48" customHeight="1">
      <x:c r="A15" s="8" t="str">
        <x:v>E10</x:v>
      </x:c>
      <x:c r="B15" s="8" t="n">
        <x:v>4</x:v>
      </x:c>
      <x:c r="C15" s="8" t="str">
        <x:v>GET /admin/containers</x:v>
      </x:c>
      <x:c r="D15" s="8" t="str">
        <x:v>Tsung-Hao</x:v>
      </x:c>
      <x:c r="E15" s="8" t="str">
        <x:v>Implementada</x:v>
      </x:c>
      <x:c r="F15" s="8" t="str">
        <x:v>Aprobadas</x:v>
      </x:c>
      <x:c r="G15" s="10" t="str">
        <x:v>Pendiente</x:v>
      </x:c>
      <x:c r="H15" s="8" t="str">
        <x:f>IF(F15&lt;&gt;"Aprobadas","Validación externa pendiente",IF(G15="Aprobada","Aceptado","Revisión pendiente"))</x:f>
        <x:v>Revisión pendiente</x:v>
      </x:c>
    </x:row>
    <x:row r="16" ht="48" customHeight="1">
      <x:c r="A16" s="9" t="str">
        <x:v>E11</x:v>
      </x:c>
      <x:c r="B16" s="9" t="n">
        <x:v>5</x:v>
      </x:c>
      <x:c r="C16" s="9" t="str">
        <x:v>POST /admin/containers/{name}/restart</x:v>
      </x:c>
      <x:c r="D16" s="9" t="str">
        <x:v>Tsung-Hao</x:v>
      </x:c>
      <x:c r="E16" s="9" t="str">
        <x:v>Implementada</x:v>
      </x:c>
      <x:c r="F16" s="9" t="str">
        <x:v>Aprobadas</x:v>
      </x:c>
      <x:c r="G16" s="10" t="str">
        <x:v>Pendiente</x:v>
      </x:c>
      <x:c r="H16" s="9" t="str">
        <x:f>IF(F16&lt;&gt;"Aprobadas","Validación externa pendiente",IF(G16="Aprobada","Aceptado","Revisión pendiente"))</x:f>
        <x:v>Revisión pendiente</x:v>
      </x:c>
    </x:row>
    <x:row r="17" ht="48" customHeight="1">
      <x:c r="A17" s="8" t="str">
        <x:v>E12</x:v>
      </x:c>
      <x:c r="B17" s="8" t="n">
        <x:v>1</x:v>
      </x:c>
      <x:c r="C17" s="8" t="str">
        <x:v>GET /admin/users</x:v>
      </x:c>
      <x:c r="D17" s="8" t="str">
        <x:v>Tsung-Hao</x:v>
      </x:c>
      <x:c r="E17" s="8" t="str">
        <x:v>Implementada</x:v>
      </x:c>
      <x:c r="F17" s="8" t="str">
        <x:v>Aprobadas</x:v>
      </x:c>
      <x:c r="G17" s="10" t="str">
        <x:v>Pendiente</x:v>
      </x:c>
      <x:c r="H17" s="8" t="str">
        <x:f>IF(F17&lt;&gt;"Aprobadas","Validación externa pendiente",IF(G17="Aprobada","Aceptado","Revisión pendiente"))</x:f>
        <x:v>Revisión pendiente</x:v>
      </x:c>
    </x:row>
    <x:row r="18" ht="48" customHeight="1">
      <x:c r="A18" s="9" t="str">
        <x:v>E13</x:v>
      </x:c>
      <x:c r="B18" s="9" t="n">
        <x:v>1</x:v>
      </x:c>
      <x:c r="C18" s="9" t="str">
        <x:v>GET /admin/users/{id}</x:v>
      </x:c>
      <x:c r="D18" s="9" t="str">
        <x:v>Tsung-Hao</x:v>
      </x:c>
      <x:c r="E18" s="9" t="str">
        <x:v>Implementada</x:v>
      </x:c>
      <x:c r="F18" s="9" t="str">
        <x:v>Aprobadas</x:v>
      </x:c>
      <x:c r="G18" s="10" t="str">
        <x:v>Pendiente</x:v>
      </x:c>
      <x:c r="H18" s="9" t="str">
        <x:f>IF(F18&lt;&gt;"Aprobadas","Validación externa pendiente",IF(G18="Aprobada","Aceptado","Revisión pendiente"))</x:f>
        <x:v>Revisión pendiente</x:v>
      </x:c>
    </x:row>
    <x:row r="19" ht="48" customHeight="1">
      <x:c r="A19" s="8" t="str">
        <x:v>E14</x:v>
      </x:c>
      <x:c r="B19" s="8" t="n">
        <x:v>2</x:v>
      </x:c>
      <x:c r="C19" s="8" t="str">
        <x:v>PATCH /admin/users/{id}</x:v>
      </x:c>
      <x:c r="D19" s="8" t="str">
        <x:v>Tsung-Hao</x:v>
      </x:c>
      <x:c r="E19" s="8" t="str">
        <x:v>Implementada</x:v>
      </x:c>
      <x:c r="F19" s="8" t="str">
        <x:v>Aprobadas</x:v>
      </x:c>
      <x:c r="G19" s="10" t="str">
        <x:v>Pendiente</x:v>
      </x:c>
      <x:c r="H19" s="8" t="str">
        <x:f>IF(F19&lt;&gt;"Aprobadas","Validación externa pendiente",IF(G19="Aprobada","Aceptado","Revisión pendiente"))</x:f>
        <x:v>Revisión pendiente</x:v>
      </x:c>
    </x:row>
    <x:row r="20" ht="48" customHeight="1">
      <x:c r="A20" s="9" t="str">
        <x:v>E15</x:v>
      </x:c>
      <x:c r="B20" s="9" t="n">
        <x:v>2</x:v>
      </x:c>
      <x:c r="C20" s="9" t="str">
        <x:v>GET /admin/tickets</x:v>
      </x:c>
      <x:c r="D20" s="9" t="str">
        <x:v>Tsung-Hao</x:v>
      </x:c>
      <x:c r="E20" s="9" t="str">
        <x:v>Implementada</x:v>
      </x:c>
      <x:c r="F20" s="9" t="str">
        <x:v>Aprobadas</x:v>
      </x:c>
      <x:c r="G20" s="10" t="str">
        <x:v>Pendiente</x:v>
      </x:c>
      <x:c r="H20" s="9" t="str">
        <x:f>IF(F20&lt;&gt;"Aprobadas","Validación externa pendiente",IF(G20="Aprobada","Aceptado","Revisión pendiente"))</x:f>
        <x:v>Revisión pendiente</x:v>
      </x:c>
    </x:row>
    <x:row r="21" ht="48" customHeight="1">
      <x:c r="A21" s="8" t="str">
        <x:v>E16</x:v>
      </x:c>
      <x:c r="B21" s="8" t="n">
        <x:v>2</x:v>
      </x:c>
      <x:c r="C21" s="8" t="str">
        <x:v>PATCH /admin/tickets/{id}</x:v>
      </x:c>
      <x:c r="D21" s="8" t="str">
        <x:v>Tsung-Hao</x:v>
      </x:c>
      <x:c r="E21" s="8" t="str">
        <x:v>Implementada</x:v>
      </x:c>
      <x:c r="F21" s="8" t="str">
        <x:v>Aprobadas</x:v>
      </x:c>
      <x:c r="G21" s="10" t="str">
        <x:v>Pendiente</x:v>
      </x:c>
      <x:c r="H21" s="8" t="str">
        <x:f>IF(F21&lt;&gt;"Aprobadas","Validación externa pendiente",IF(G21="Aprobada","Aceptado","Revisión pendiente"))</x:f>
        <x:v>Revisión pendiente</x:v>
      </x:c>
    </x:row>
    <x:row r="22" ht="48" customHeight="1">
      <x:c r="A22" s="9" t="str">
        <x:v>E17</x:v>
      </x:c>
      <x:c r="B22" s="9" t="n">
        <x:v>3</x:v>
      </x:c>
      <x:c r="C22" s="9" t="str">
        <x:v>GET /admin/corrections</x:v>
      </x:c>
      <x:c r="D22" s="9" t="str">
        <x:v>Catalina</x:v>
      </x:c>
      <x:c r="E22" s="9" t="str">
        <x:v>Implementada</x:v>
      </x:c>
      <x:c r="F22" s="9" t="str">
        <x:v>Aprobadas</x:v>
      </x:c>
      <x:c r="G22" s="10" t="str">
        <x:v>Pendiente</x:v>
      </x:c>
      <x:c r="H22" s="9" t="str">
        <x:f>IF(F22&lt;&gt;"Aprobadas","Validación externa pendiente",IF(G22="Aprobada","Aceptado","Revisión pendiente"))</x:f>
        <x:v>Revisión pendiente</x:v>
      </x:c>
    </x:row>
    <x:row r="23" ht="48" customHeight="1">
      <x:c r="A23" s="8" t="str">
        <x:v>E18</x:v>
      </x:c>
      <x:c r="B23" s="8" t="n">
        <x:v>3</x:v>
      </x:c>
      <x:c r="C23" s="8" t="str">
        <x:v>PATCH /admin/corrections/{id}</x:v>
      </x:c>
      <x:c r="D23" s="8" t="str">
        <x:v>Catalina</x:v>
      </x:c>
      <x:c r="E23" s="8" t="str">
        <x:v>Implementada</x:v>
      </x:c>
      <x:c r="F23" s="8" t="str">
        <x:v>Aprobadas</x:v>
      </x:c>
      <x:c r="G23" s="10" t="str">
        <x:v>Pendiente</x:v>
      </x:c>
      <x:c r="H23" s="8" t="str">
        <x:f>IF(F23&lt;&gt;"Aprobadas","Validación externa pendiente",IF(G23="Aprobada","Aceptado","Revisión pendiente"))</x:f>
        <x:v>Revisión pendiente</x:v>
      </x:c>
    </x:row>
    <x:row r="24" ht="48" customHeight="1">
      <x:c r="A24" s="9" t="str">
        <x:v>E19</x:v>
      </x:c>
      <x:c r="B24" s="9" t="n">
        <x:v>2</x:v>
      </x:c>
      <x:c r="C24" s="9" t="str">
        <x:v>GET /admin/questions</x:v>
      </x:c>
      <x:c r="D24" s="9" t="str">
        <x:v>Catalina</x:v>
      </x:c>
      <x:c r="E24" s="9" t="str">
        <x:v>Implementada</x:v>
      </x:c>
      <x:c r="F24" s="9" t="str">
        <x:v>Aprobadas</x:v>
      </x:c>
      <x:c r="G24" s="10" t="str">
        <x:v>Pendiente</x:v>
      </x:c>
      <x:c r="H24" s="9" t="str">
        <x:f>IF(F24&lt;&gt;"Aprobadas","Validación externa pendiente",IF(G24="Aprobada","Aceptado","Revisión pendiente"))</x:f>
        <x:v>Revisión pendiente</x:v>
      </x:c>
    </x:row>
    <x:row r="25" ht="48" customHeight="1">
      <x:c r="A25" s="8" t="str">
        <x:v>E20</x:v>
      </x:c>
      <x:c r="B25" s="8" t="n">
        <x:v>2</x:v>
      </x:c>
      <x:c r="C25" s="8" t="str">
        <x:v>POST /admin/questions</x:v>
      </x:c>
      <x:c r="D25" s="8" t="str">
        <x:v>Catalina</x:v>
      </x:c>
      <x:c r="E25" s="8" t="str">
        <x:v>Implementada</x:v>
      </x:c>
      <x:c r="F25" s="8" t="str">
        <x:v>Aprobadas</x:v>
      </x:c>
      <x:c r="G25" s="10" t="str">
        <x:v>Pendiente</x:v>
      </x:c>
      <x:c r="H25" s="8" t="str">
        <x:f>IF(F25&lt;&gt;"Aprobadas","Validación externa pendiente",IF(G25="Aprobada","Aceptado","Revisión pendiente"))</x:f>
        <x:v>Revisión pendiente</x:v>
      </x:c>
    </x:row>
    <x:row r="26" ht="48" customHeight="1">
      <x:c r="A26" s="9" t="str">
        <x:v>E21</x:v>
      </x:c>
      <x:c r="B26" s="9" t="n">
        <x:v>2</x:v>
      </x:c>
      <x:c r="C26" s="9" t="str">
        <x:v>PUT /admin/questions/{id}</x:v>
      </x:c>
      <x:c r="D26" s="9" t="str">
        <x:v>Catalina</x:v>
      </x:c>
      <x:c r="E26" s="9" t="str">
        <x:v>Implementada</x:v>
      </x:c>
      <x:c r="F26" s="9" t="str">
        <x:v>Aprobadas</x:v>
      </x:c>
      <x:c r="G26" s="10" t="str">
        <x:v>Pendiente</x:v>
      </x:c>
      <x:c r="H26" s="9" t="str">
        <x:f>IF(F26&lt;&gt;"Aprobadas","Validación externa pendiente",IF(G26="Aprobada","Aceptado","Revisión pendiente"))</x:f>
        <x:v>Revisión pendiente</x:v>
      </x:c>
    </x:row>
    <x:row r="27" ht="48" customHeight="1">
      <x:c r="A27" s="8" t="str">
        <x:v>E22</x:v>
      </x:c>
      <x:c r="B27" s="8" t="n">
        <x:v>3</x:v>
      </x:c>
      <x:c r="C27" s="8" t="str">
        <x:v>POST /admin/questions/import</x:v>
      </x:c>
      <x:c r="D27" s="8" t="str">
        <x:v>Catalina</x:v>
      </x:c>
      <x:c r="E27" s="8" t="str">
        <x:v>Implementada</x:v>
      </x:c>
      <x:c r="F27" s="8" t="str">
        <x:v>Aprobadas</x:v>
      </x:c>
      <x:c r="G27" s="10" t="str">
        <x:v>Pendiente</x:v>
      </x:c>
      <x:c r="H27" s="8" t="str">
        <x:f>IF(F27&lt;&gt;"Aprobadas","Validación externa pendiente",IF(G27="Aprobada","Aceptado","Revisión pendiente"))</x:f>
        <x:v>Revisión pendiente</x:v>
      </x:c>
    </x:row>
    <x:row r="28" ht="48" customHeight="1">
      <x:c r="A28" s="9" t="str">
        <x:v>E23</x:v>
      </x:c>
      <x:c r="B28" s="9" t="n">
        <x:v>1</x:v>
      </x:c>
      <x:c r="C28" s="9" t="str">
        <x:v>GET /admin/features</x:v>
      </x:c>
      <x:c r="D28" s="9" t="str">
        <x:v>Felipe</x:v>
      </x:c>
      <x:c r="E28" s="9" t="str">
        <x:v>Implementada</x:v>
      </x:c>
      <x:c r="F28" s="9" t="str">
        <x:v>Aprobadas</x:v>
      </x:c>
      <x:c r="G28" s="10" t="str">
        <x:v>Pendiente</x:v>
      </x:c>
      <x:c r="H28" s="9" t="str">
        <x:f>IF(F28&lt;&gt;"Aprobadas","Validación externa pendiente",IF(G28="Aprobada","Aceptado","Revisión pendiente"))</x:f>
        <x:v>Revisión pendiente</x:v>
      </x:c>
    </x:row>
    <x:row r="29" ht="48" customHeight="1">
      <x:c r="A29" s="8" t="str">
        <x:v>E24</x:v>
      </x:c>
      <x:c r="B29" s="8" t="n">
        <x:v>1</x:v>
      </x:c>
      <x:c r="C29" s="8" t="str">
        <x:v>GET /admin/plans</x:v>
      </x:c>
      <x:c r="D29" s="8" t="str">
        <x:v>Felipe</x:v>
      </x:c>
      <x:c r="E29" s="8" t="str">
        <x:v>Implementada</x:v>
      </x:c>
      <x:c r="F29" s="8" t="str">
        <x:v>Aprobadas</x:v>
      </x:c>
      <x:c r="G29" s="10" t="str">
        <x:v>Pendiente</x:v>
      </x:c>
      <x:c r="H29" s="8" t="str">
        <x:f>IF(F29&lt;&gt;"Aprobadas","Validación externa pendiente",IF(G29="Aprobada","Aceptado","Revisión pendiente"))</x:f>
        <x:v>Revisión pendiente</x:v>
      </x:c>
    </x:row>
    <x:row r="30" ht="48" customHeight="1">
      <x:c r="A30" s="9" t="str">
        <x:v>E25</x:v>
      </x:c>
      <x:c r="B30" s="9" t="n">
        <x:v>1</x:v>
      </x:c>
      <x:c r="C30" s="9" t="str">
        <x:v>POST /admin/plans</x:v>
      </x:c>
      <x:c r="D30" s="9" t="str">
        <x:v>Felipe</x:v>
      </x:c>
      <x:c r="E30" s="9" t="str">
        <x:v>Implementada</x:v>
      </x:c>
      <x:c r="F30" s="9" t="str">
        <x:v>Aprobadas</x:v>
      </x:c>
      <x:c r="G30" s="10" t="str">
        <x:v>Pendiente</x:v>
      </x:c>
      <x:c r="H30" s="9" t="str">
        <x:f>IF(F30&lt;&gt;"Aprobadas","Validación externa pendiente",IF(G30="Aprobada","Aceptado","Revisión pendiente"))</x:f>
        <x:v>Revisión pendiente</x:v>
      </x:c>
    </x:row>
    <x:row r="31" ht="48" customHeight="1">
      <x:c r="A31" s="8" t="str">
        <x:v>E26</x:v>
      </x:c>
      <x:c r="B31" s="8" t="n">
        <x:v>3</x:v>
      </x:c>
      <x:c r="C31" s="8" t="str">
        <x:v>PUT /admin/plans/{id}</x:v>
      </x:c>
      <x:c r="D31" s="8" t="str">
        <x:v>Felipe</x:v>
      </x:c>
      <x:c r="E31" s="8" t="str">
        <x:v>Implementada</x:v>
      </x:c>
      <x:c r="F31" s="8" t="str">
        <x:v>Proveedor simulado</x:v>
      </x:c>
      <x:c r="G31" s="10" t="str">
        <x:v>Pendiente</x:v>
      </x:c>
      <x:c r="H31" s="8" t="str">
        <x:f>IF(F31&lt;&gt;"Aprobadas","Validación externa pendiente",IF(G31="Aprobada","Aceptado","Revisión pendiente"))</x:f>
        <x:v>Validación externa pendiente</x:v>
      </x:c>
    </x:row>
    <x:row r="32" ht="48" customHeight="1">
      <x:c r="A32" s="9" t="str">
        <x:v>E27</x:v>
      </x:c>
      <x:c r="B32" s="9" t="n">
        <x:v>2</x:v>
      </x:c>
      <x:c r="C32" s="9" t="str">
        <x:v>DELETE /admin/plans/{id}</x:v>
      </x:c>
      <x:c r="D32" s="9" t="str">
        <x:v>Felipe</x:v>
      </x:c>
      <x:c r="E32" s="9" t="str">
        <x:v>Implementada</x:v>
      </x:c>
      <x:c r="F32" s="9" t="str">
        <x:v>Aprobadas</x:v>
      </x:c>
      <x:c r="G32" s="10" t="str">
        <x:v>Pendiente</x:v>
      </x:c>
      <x:c r="H32" s="9" t="str">
        <x:f>IF(F32&lt;&gt;"Aprobadas","Validación externa pendiente",IF(G32="Aprobada","Aceptado","Revisión pendiente"))</x:f>
        <x:v>Revisión pendiente</x:v>
      </x:c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 t="str">
        <x:v>Endpoints</x:v>
      </x:c>
      <x:c r="B35" s="1" t="n">
        <x:f>COUNTA(A6:A32)</x:f>
        <x:v>27</x:v>
      </x:c>
      <x:c r="C35" s="1" t="str">
        <x:v>Revisados</x:v>
      </x:c>
      <x:c r="D35" s="1" t="n">
        <x:f>COUNTIFS(G6:G32,"Aprobada")</x:f>
        <x:v>0</x:v>
      </x:c>
      <x:c r="E35" s="1" t="str">
        <x:v>Validación externa</x:v>
      </x:c>
      <x:c r="F35" s="1" t="n">
        <x:f>COUNTIFS(F6:F32,"Proveedor simulado")</x:f>
        <x:v>1</x:v>
      </x:c>
      <x:c r="G35" s="1"/>
      <x:c r="H35" s="1"/>
    </x:row>
    <x:row r="37">
      <x:c r="A37" t="str">
        <x:v>E09–E11 se verifican con recursos reales del laboratorio local. Las URLs empresariales siguen pendientes.</x:v>
      </x:c>
    </x:row>
  </x:sheetData>
  <x:dataValidations count="1">
    <x:dataValidation type="list" sqref="G6:G32">
      <x:formula1>"Pendiente,Aprobada,Rechazada"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79" hidden="0" customWidth="1"/>
  </x:cols>
  <x:sheetData>
    <x:row r="1" ht="32" customHeight="1">
      <x:c r="A1" s="2" t="str">
        <x:v>Resultados de la regresión conjunta</x:v>
      </x:c>
      <x:c r="B1" s="1"/>
      <x:c r="C1" s="1"/>
      <x:c r="D1" s="1"/>
      <x:c r="E1" s="1"/>
      <x:c r="F1" s="1"/>
    </x:row>
    <x:row r="2">
      <x:c r="A2" s="1"/>
      <x:c r="B2" s="1"/>
      <x:c r="C2" s="1"/>
      <x:c r="D2" s="1"/>
      <x:c r="E2" s="1"/>
      <x:c r="F2" s="1"/>
    </x:row>
    <x:row r="3">
      <x:c r="A3" s="1" t="str">
        <x:v>Ejecución 27/10/2026. Compilación frontend aprobada; las suites pueden compartir escenarios.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0" customHeight="1">
      <x:c r="A5" s="5" t="str">
        <x:v>Suite</x:v>
      </x:c>
      <x:c r="B5" s="5" t="str">
        <x:v>Ejecutadas</x:v>
      </x:c>
      <x:c r="C5" s="5" t="str">
        <x:v>Aprobadas</x:v>
      </x:c>
      <x:c r="D5" s="5" t="str">
        <x:v>Fallidas</x:v>
      </x:c>
      <x:c r="E5" s="5" t="str">
        <x:v>Omitidas</x:v>
      </x:c>
      <x:c r="F5" s="5" t="str">
        <x:v>Evidencia</x:v>
      </x:c>
    </x:row>
    <x:row r="6" ht="48" customHeight="1">
      <x:c r="A6" s="9" t="str">
        <x:v>a-sprint1</x:v>
      </x:c>
      <x:c r="B6" s="9" t="n">
        <x:v>8</x:v>
      </x:c>
      <x:c r="C6" s="9" t="n">
        <x:v>8</x:v>
      </x:c>
      <x:c r="D6" s="9" t="n">
        <x:v>0</x:v>
      </x:c>
      <x:c r="E6" s="9" t="n">
        <x:v>0</x:v>
      </x:c>
      <x:c r="F6" s="9" t="str">
        <x:v>../evidencias/cierre-2026-10-27/a-sprint1.txt</x:v>
      </x:c>
    </x:row>
    <x:row r="7" ht="48" customHeight="1">
      <x:c r="A7" s="8" t="str">
        <x:v>a-sprint2</x:v>
      </x:c>
      <x:c r="B7" s="8" t="n">
        <x:v>9</x:v>
      </x:c>
      <x:c r="C7" s="8" t="n">
        <x:v>9</x:v>
      </x:c>
      <x:c r="D7" s="8" t="n">
        <x:v>0</x:v>
      </x:c>
      <x:c r="E7" s="8" t="n">
        <x:v>0</x:v>
      </x:c>
      <x:c r="F7" s="8" t="str">
        <x:v>../evidencias/cierre-2026-10-27/a-sprint2.txt</x:v>
      </x:c>
    </x:row>
    <x:row r="8" ht="48" customHeight="1">
      <x:c r="A8" s="9" t="str">
        <x:v>a-ops</x:v>
      </x:c>
      <x:c r="B8" s="9" t="n">
        <x:v>8</x:v>
      </x:c>
      <x:c r="C8" s="9" t="n">
        <x:v>8</x:v>
      </x:c>
      <x:c r="D8" s="9" t="n">
        <x:v>0</x:v>
      </x:c>
      <x:c r="E8" s="9" t="n">
        <x:v>0</x:v>
      </x:c>
      <x:c r="F8" s="9" t="str">
        <x:v>../evidencias/cierre-2026-10-27/a-ops.txt</x:v>
      </x:c>
    </x:row>
    <x:row r="9" ht="48" customHeight="1">
      <x:c r="A9" s="8" t="str">
        <x:v>b-sponsors</x:v>
      </x:c>
      <x:c r="B9" s="8" t="n">
        <x:v>11</x:v>
      </x:c>
      <x:c r="C9" s="8" t="n">
        <x:v>11</x:v>
      </x:c>
      <x:c r="D9" s="8" t="n">
        <x:v>0</x:v>
      </x:c>
      <x:c r="E9" s="8" t="n">
        <x:v>0</x:v>
      </x:c>
      <x:c r="F9" s="8" t="str">
        <x:v>../evidencias/cierre-2026-10-27/b-sponsors.txt</x:v>
      </x:c>
    </x:row>
    <x:row r="10" ht="48" customHeight="1">
      <x:c r="A10" s="9" t="str">
        <x:v>b-sponsors-create</x:v>
      </x:c>
      <x:c r="B10" s="9" t="n">
        <x:v>8</x:v>
      </x:c>
      <x:c r="C10" s="9" t="n">
        <x:v>8</x:v>
      </x:c>
      <x:c r="D10" s="9" t="n">
        <x:v>0</x:v>
      </x:c>
      <x:c r="E10" s="9" t="n">
        <x:v>0</x:v>
      </x:c>
      <x:c r="F10" s="9" t="str">
        <x:v>../evidencias/cierre-2026-10-27/b-sponsors-create.txt</x:v>
      </x:c>
    </x:row>
    <x:row r="11" ht="48" customHeight="1">
      <x:c r="A11" s="8" t="str">
        <x:v>b-sponsors-update</x:v>
      </x:c>
      <x:c r="B11" s="8" t="n">
        <x:v>9</x:v>
      </x:c>
      <x:c r="C11" s="8" t="n">
        <x:v>9</x:v>
      </x:c>
      <x:c r="D11" s="8" t="n">
        <x:v>0</x:v>
      </x:c>
      <x:c r="E11" s="8" t="n">
        <x:v>0</x:v>
      </x:c>
      <x:c r="F11" s="8" t="str">
        <x:v>../evidencias/cierre-2026-10-27/b-sponsors-update.txt</x:v>
      </x:c>
    </x:row>
    <x:row r="12" ht="48" customHeight="1">
      <x:c r="A12" s="9" t="str">
        <x:v>b-sponsors-delete</x:v>
      </x:c>
      <x:c r="B12" s="9" t="n">
        <x:v>10</x:v>
      </x:c>
      <x:c r="C12" s="9" t="n">
        <x:v>10</x:v>
      </x:c>
      <x:c r="D12" s="9" t="n">
        <x:v>0</x:v>
      </x:c>
      <x:c r="E12" s="9" t="n">
        <x:v>0</x:v>
      </x:c>
      <x:c r="F12" s="9" t="str">
        <x:v>../evidencias/cierre-2026-10-27/b-sponsors-delete.txt</x:v>
      </x:c>
    </x:row>
    <x:row r="13" ht="48" customHeight="1">
      <x:c r="A13" s="8" t="str">
        <x:v>b-questions-list</x:v>
      </x:c>
      <x:c r="B13" s="8" t="n">
        <x:v>10</x:v>
      </x:c>
      <x:c r="C13" s="8" t="n">
        <x:v>10</x:v>
      </x:c>
      <x:c r="D13" s="8" t="n">
        <x:v>0</x:v>
      </x:c>
      <x:c r="E13" s="8" t="n">
        <x:v>0</x:v>
      </x:c>
      <x:c r="F13" s="8" t="str">
        <x:v>../evidencias/cierre-2026-10-27/b-questions-list.txt</x:v>
      </x:c>
    </x:row>
    <x:row r="14" ht="48" customHeight="1">
      <x:c r="A14" s="9" t="str">
        <x:v>b-questions-create</x:v>
      </x:c>
      <x:c r="B14" s="9" t="n">
        <x:v>10</x:v>
      </x:c>
      <x:c r="C14" s="9" t="n">
        <x:v>10</x:v>
      </x:c>
      <x:c r="D14" s="9" t="n">
        <x:v>0</x:v>
      </x:c>
      <x:c r="E14" s="9" t="n">
        <x:v>0</x:v>
      </x:c>
      <x:c r="F14" s="9" t="str">
        <x:v>../evidencias/cierre-2026-10-27/b-questions-create.txt</x:v>
      </x:c>
    </x:row>
    <x:row r="15" ht="48" customHeight="1">
      <x:c r="A15" s="8" t="str">
        <x:v>b-questions-update</x:v>
      </x:c>
      <x:c r="B15" s="8" t="n">
        <x:v>13</x:v>
      </x:c>
      <x:c r="C15" s="8" t="n">
        <x:v>13</x:v>
      </x:c>
      <x:c r="D15" s="8" t="n">
        <x:v>0</x:v>
      </x:c>
      <x:c r="E15" s="8" t="n">
        <x:v>0</x:v>
      </x:c>
      <x:c r="F15" s="8" t="str">
        <x:v>../evidencias/cierre-2026-10-27/b-questions-update.txt</x:v>
      </x:c>
    </x:row>
    <x:row r="16" ht="48" customHeight="1">
      <x:c r="A16" s="9" t="str">
        <x:v>b-questions-import</x:v>
      </x:c>
      <x:c r="B16" s="9" t="n">
        <x:v>14</x:v>
      </x:c>
      <x:c r="C16" s="9" t="n">
        <x:v>14</x:v>
      </x:c>
      <x:c r="D16" s="9" t="n">
        <x:v>0</x:v>
      </x:c>
      <x:c r="E16" s="9" t="n">
        <x:v>0</x:v>
      </x:c>
      <x:c r="F16" s="9" t="str">
        <x:v>../evidencias/cierre-2026-10-27/b-questions-import.txt</x:v>
      </x:c>
    </x:row>
    <x:row r="17" ht="48" customHeight="1">
      <x:c r="A17" s="8" t="str">
        <x:v>b-corrections-list</x:v>
      </x:c>
      <x:c r="B17" s="8" t="n">
        <x:v>12</x:v>
      </x:c>
      <x:c r="C17" s="8" t="n">
        <x:v>12</x:v>
      </x:c>
      <x:c r="D17" s="8" t="n">
        <x:v>0</x:v>
      </x:c>
      <x:c r="E17" s="8" t="n">
        <x:v>0</x:v>
      </x:c>
      <x:c r="F17" s="8" t="str">
        <x:v>../evidencias/cierre-2026-10-27/b-corrections-list.txt</x:v>
      </x:c>
    </x:row>
    <x:row r="18" ht="48" customHeight="1">
      <x:c r="A18" s="9" t="str">
        <x:v>b-corrections-resolve</x:v>
      </x:c>
      <x:c r="B18" s="9" t="n">
        <x:v>18</x:v>
      </x:c>
      <x:c r="C18" s="9" t="n">
        <x:v>18</x:v>
      </x:c>
      <x:c r="D18" s="9" t="n">
        <x:v>0</x:v>
      </x:c>
      <x:c r="E18" s="9" t="n">
        <x:v>0</x:v>
      </x:c>
      <x:c r="F18" s="9" t="str">
        <x:v>../evidencias/cierre-2026-10-27/b-corrections-resolve.txt</x:v>
      </x:c>
    </x:row>
    <x:row r="19" ht="48" customHeight="1">
      <x:c r="A19" s="8" t="str">
        <x:v>c-catalog</x:v>
      </x:c>
      <x:c r="B19" s="8" t="n">
        <x:v>7</x:v>
      </x:c>
      <x:c r="C19" s="8" t="n">
        <x:v>7</x:v>
      </x:c>
      <x:c r="D19" s="8" t="n">
        <x:v>0</x:v>
      </x:c>
      <x:c r="E19" s="8" t="n">
        <x:v>0</x:v>
      </x:c>
      <x:c r="F19" s="8" t="str">
        <x:v>../evidencias/cierre-2026-10-27/c-catalog.txt</x:v>
      </x:c>
    </x:row>
    <x:row r="20" ht="48" customHeight="1">
      <x:c r="A20" s="9" t="str">
        <x:v>c-billing</x:v>
      </x:c>
      <x:c r="B20" s="9" t="n">
        <x:v>5</x:v>
      </x:c>
      <x:c r="C20" s="9" t="n">
        <x:v>5</x:v>
      </x:c>
      <x:c r="D20" s="9" t="n">
        <x:v>0</x:v>
      </x:c>
      <x:c r="E20" s="9" t="n">
        <x:v>0</x:v>
      </x:c>
      <x:c r="F20" s="9" t="str">
        <x:v>../evidencias/cierre-2026-10-27/c-billing.txt</x:v>
      </x:c>
    </x:row>
    <x:row r="21" ht="48" customHeight="1">
      <x:c r="A21" s="8" t="str">
        <x:v>c-metrics</x:v>
      </x:c>
      <x:c r="B21" s="8" t="n">
        <x:v>10</x:v>
      </x:c>
      <x:c r="C21" s="8" t="n">
        <x:v>10</x:v>
      </x:c>
      <x:c r="D21" s="8" t="n">
        <x:v>0</x:v>
      </x:c>
      <x:c r="E21" s="8" t="n">
        <x:v>0</x:v>
      </x:c>
      <x:c r="F21" s="8" t="str">
        <x:v>../evidencias/cierre-2026-10-27/c-metrics.txt</x:v>
      </x:c>
    </x:row>
    <x:row r="22" ht="48" customHeight="1">
      <x:c r="A22" s="9" t="str">
        <x:v>smoke</x:v>
      </x:c>
      <x:c r="B22" s="9" t="n">
        <x:v>7</x:v>
      </x:c>
      <x:c r="C22" s="9" t="n">
        <x:v>7</x:v>
      </x:c>
      <x:c r="D22" s="9" t="n">
        <x:v>0</x:v>
      </x:c>
      <x:c r="E22" s="9" t="n">
        <x:v>0</x:v>
      </x:c>
      <x:c r="F22" s="9" t="str">
        <x:v>../evidencias/cierre-2026-10-27/smoke.txt</x:v>
      </x:c>
    </x:row>
    <x:row r="23" ht="48" customHeight="1">
      <x:c r="A23" s="8" t="str">
        <x:v>contract</x:v>
      </x:c>
      <x:c r="B23" s="8" t="n">
        <x:v>8</x:v>
      </x:c>
      <x:c r="C23" s="8" t="n">
        <x:v>8</x:v>
      </x:c>
      <x:c r="D23" s="8" t="n">
        <x:v>0</x:v>
      </x:c>
      <x:c r="E23" s="8" t="n">
        <x:v>0</x:v>
      </x:c>
      <x:c r="F23" s="8" t="str">
        <x:v>../evidencias/cierre-2026-10-27/contract.txt</x:v>
      </x:c>
    </x:row>
    <x:row r="24" ht="48" customHeight="1">
      <x:c r="A24" s="9" t="str">
        <x:v>backend-unit</x:v>
      </x:c>
      <x:c r="B24" s="9" t="n">
        <x:v>20</x:v>
      </x:c>
      <x:c r="C24" s="9" t="n">
        <x:v>20</x:v>
      </x:c>
      <x:c r="D24" s="9" t="n">
        <x:v>0</x:v>
      </x:c>
      <x:c r="E24" s="9" t="n">
        <x:v>0</x:v>
      </x:c>
      <x:c r="F24" s="9" t="str">
        <x:v>../evidencias/cierre-2026-10-27/backend-unit.txt</x:v>
      </x:c>
    </x:row>
    <x:row r="25" ht="48" customHeight="1">
      <x:c r="A25" s="8" t="str">
        <x:v>frontend-unit</x:v>
      </x:c>
      <x:c r="B25" s="8" t="n">
        <x:v>15</x:v>
      </x:c>
      <x:c r="C25" s="8" t="n">
        <x:v>15</x:v>
      </x:c>
      <x:c r="D25" s="8" t="n">
        <x:v>0</x:v>
      </x:c>
      <x:c r="E25" s="8" t="n">
        <x:v>0</x:v>
      </x:c>
      <x:c r="F25" s="8" t="str">
        <x:v>../evidencias/cierre-2026-10-27/frontend-unit.txt</x:v>
      </x:c>
    </x:row>
    <x:row r="26" ht="48" customHeight="1">
      <x:c r="A26" s="9" t="str">
        <x:v>firestore-config</x:v>
      </x:c>
      <x:c r="B26" s="9" t="n">
        <x:v>2</x:v>
      </x:c>
      <x:c r="C26" s="9" t="n">
        <x:v>2</x:v>
      </x:c>
      <x:c r="D26" s="9" t="n">
        <x:v>0</x:v>
      </x:c>
      <x:c r="E26" s="9" t="n">
        <x:v>0</x:v>
      </x:c>
      <x:c r="F26" s="9" t="str">
        <x:v>../evidencias/cierre-2026-10-27/firestore-config.txt</x:v>
      </x:c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 t="str">
        <x:v>Total</x:v>
      </x:c>
      <x:c r="B29" s="1" t="n">
        <x:f>SUM(B6:B26)</x:f>
        <x:v>214</x:v>
      </x:c>
      <x:c r="C29" s="1" t="n">
        <x:f>SUM(C6:C26)</x:f>
        <x:v>214</x:v>
      </x:c>
      <x:c r="D29" s="1" t="n">
        <x:f>SUM(D6:D26)</x:f>
        <x:v>0</x:v>
      </x:c>
      <x:c r="E29" s="1" t="n">
        <x:f>SUM(E6:E26)</x:f>
        <x:v>0</x:v>
      </x:c>
      <x:c r="F2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13" hidden="0" customWidth="1"/>
    <x:col min="3" max="3" width="66" hidden="0" customWidth="1"/>
    <x:col min="4" max="4" width="56" hidden="0" customWidth="1"/>
  </x:cols>
  <x:sheetData>
    <x:row r="1" ht="32" customHeight="1">
      <x:c r="A1" s="2" t="str">
        <x:v>Correspondencia con la evaluación final</x:v>
      </x:c>
      <x:c r="B1" s="1"/>
      <x:c r="C1" s="1"/>
      <x:c r="D1" s="1"/>
    </x:row>
    <x:row r="2">
      <x:c r="A2" s="1"/>
      <x:c r="B2" s="1"/>
      <x:c r="C2" s="1"/>
      <x:c r="D2" s="1"/>
    </x:row>
    <x:row r="3">
      <x:c r="A3" s="1" t="str">
        <x:v>Referencia académica: planilla de evaluación final de Fase 2. Calificación a cargo del docente.</x:v>
      </x:c>
      <x:c r="B3" s="1"/>
      <x:c r="C3" s="1"/>
      <x:c r="D3" s="1"/>
    </x:row>
    <x:row r="4">
      <x:c r="A4" s="1"/>
      <x:c r="B4" s="1"/>
      <x:c r="C4" s="1"/>
      <x:c r="D4" s="1"/>
    </x:row>
    <x:row r="5" ht="30" customHeight="1">
      <x:c r="A5" s="5" t="str">
        <x:v>Indicador</x:v>
      </x:c>
      <x:c r="B5" s="5" t="str">
        <x:v>Peso (%)</x:v>
      </x:c>
      <x:c r="C5" s="5" t="str">
        <x:v>Evidencia</x:v>
      </x:c>
      <x:c r="D5" s="5" t="str">
        <x:v>Pendiente</x:v>
      </x:c>
    </x:row>
    <x:row r="6" ht="48" customHeight="1">
      <x:c r="A6" s="9" t="str">
        <x:v>Metodología y objetivos</x:v>
      </x:c>
      <x:c r="B6" s="9" t="n">
        <x:v>10</x:v>
      </x:c>
      <x:c r="C6" s="9" t="str">
        <x:v>Informe final y plan de incrementos</x:v>
      </x:c>
      <x:c r="D6" s="9" t="str">
        <x:v>Validar acuerdos y fechas reales</x:v>
      </x:c>
    </x:row>
    <x:row r="7" ht="48" customHeight="1">
      <x:c r="A7" s="8" t="str">
        <x:v>Cumplimiento técnico</x:v>
      </x:c>
      <x:c r="B7" s="8" t="n">
        <x:v>20</x:v>
      </x:c>
      <x:c r="C7" s="8" t="str">
        <x:v>Código integrado, 214 pruebas y compilación</x:v>
      </x:c>
      <x:c r="D7" s="8" t="str">
        <x:v>Aceptar Stripe y validar entorno remoto</x:v>
      </x:c>
    </x:row>
    <x:row r="8" ht="48" customHeight="1">
      <x:c r="A8" s="9" t="str">
        <x:v>Intereses profesionales</x:v>
      </x:c>
      <x:c r="B8" s="9" t="n">
        <x:v>5</x:v>
      </x:c>
      <x:c r="C8" s="9" t="str">
        <x:v>Antecedentes de Fase 1 y reflexión de cierre</x:v>
      </x:c>
      <x:c r="D8" s="9" t="str">
        <x:v>Completar la reflexión de los tres integrantes</x:v>
      </x:c>
    </x:row>
    <x:row r="9" ht="48" customHeight="1">
      <x:c r="A9" s="8" t="str">
        <x:v>Perfil de egreso</x:v>
      </x:c>
      <x:c r="B9" s="8" t="n">
        <x:v>5</x:v>
      </x:c>
      <x:c r="C9" s="8" t="str">
        <x:v>Backend, datos, seguridad y pruebas aplicados</x:v>
      </x:c>
      <x:c r="D9" s="8" t="str">
        <x:v>Confirmar denominaciones del perfil de egreso</x:v>
      </x:c>
    </x:row>
    <x:row r="10" ht="48" customHeight="1">
      <x:c r="A10" s="9" t="str">
        <x:v>Lenguaje técnico</x:v>
      </x:c>
      <x:c r="B10" s="9" t="n">
        <x:v>5</x:v>
      </x:c>
      <x:c r="C10" s="9" t="str">
        <x:v>Informe, contratos y guías técnicas</x:v>
      </x:c>
      <x:c r="D10" s="9" t="str">
        <x:v>Lectura final del equipo</x:v>
      </x:c>
    </x:row>
    <x:row r="11" ht="48" customHeight="1">
      <x:c r="A11" s="8" t="str">
        <x:v>Redacción y citas</x:v>
      </x:c>
      <x:c r="B11" s="8" t="n">
        <x:v>5</x:v>
      </x:c>
      <x:c r="C11" s="8" t="str">
        <x:v>Referencias académicas y técnicas</x:v>
      </x:c>
      <x:c r="D11" s="8" t="str">
        <x:v>Revisión final de referencias</x:v>
      </x:c>
    </x:row>
    <x:row r="12" ht="48" customHeight="1">
      <x:c r="A12" s="9" t="str">
        <x:v>Entregables y Git</x:v>
      </x:c>
      <x:c r="B12" s="9" t="n">
        <x:v>15</x:v>
      </x:c>
      <x:c r="C12" s="9" t="str">
        <x:v>Código, informe, seguimiento y evidencia</x:v>
      </x:c>
      <x:c r="D12" s="9" t="str">
        <x:v>Publicar y registrar entrega</x:v>
      </x:c>
    </x:row>
    <x:row r="13" ht="48" customHeight="1">
      <x:c r="A13" s="8" t="str">
        <x:v>Defensa técnica</x:v>
      </x:c>
      <x:c r="B13" s="8" t="n">
        <x:v>10</x:v>
      </x:c>
      <x:c r="C13" s="8" t="str">
        <x:v>Presentación y guion de exposición</x:v>
      </x:c>
      <x:c r="D13" s="8" t="str">
        <x:v>Realizar defensa</x:v>
      </x:c>
    </x:row>
    <x:row r="14" ht="48" customHeight="1">
      <x:c r="A14" s="9" t="str">
        <x:v>Equidad de aportes</x:v>
      </x:c>
      <x:c r="B14" s="9" t="n">
        <x:v>15</x:v>
      </x:c>
      <x:c r="C14" s="9" t="str">
        <x:v>Responsables y contribuciones por módulo</x:v>
      </x:c>
      <x:c r="D14" s="9" t="str">
        <x:v>Confirmar aportes con evidencias</x:v>
      </x:c>
    </x:row>
    <x:row r="15" ht="48" customHeight="1">
      <x:c r="A15" s="8" t="str">
        <x:v>Colaboración</x:v>
      </x:c>
      <x:c r="B15" s="8" t="n">
        <x:v>10</x:v>
      </x:c>
      <x:c r="C15" s="8" t="str">
        <x:v>Revisión cruzada y acuerdos del equipo</x:v>
      </x:c>
      <x:c r="D15" s="8" t="str">
        <x:v>Registrar revisión y acuerdos</x:v>
      </x:c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86" hidden="0" customWidth="1"/>
    <x:col min="3" max="3" width="25" hidden="0" customWidth="1"/>
    <x:col min="4" max="4" width="29" hidden="0" customWidth="1"/>
  </x:cols>
  <x:sheetData>
    <x:row r="1" ht="32" customHeight="1">
      <x:c r="A1" s="2" t="str">
        <x:v>Acciones de cierre del equipo</x:v>
      </x:c>
      <x:c r="B1" s="1"/>
      <x:c r="C1" s="1"/>
      <x:c r="D1" s="1"/>
    </x:row>
    <x:row r="2">
      <x:c r="A2" s="1"/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0" customHeight="1">
      <x:c r="A5" s="5" t="str">
        <x:v>ID</x:v>
      </x:c>
      <x:c r="B5" s="5" t="str">
        <x:v>Acción</x:v>
      </x:c>
      <x:c r="C5" s="5" t="str">
        <x:v>Responsables</x:v>
      </x:c>
      <x:c r="D5" s="5" t="str">
        <x:v>Estado</x:v>
      </x:c>
    </x:row>
    <x:row r="6" ht="48" customHeight="1">
      <x:c r="A6" s="9" t="str">
        <x:v>PG-01</x:v>
      </x:c>
      <x:c r="B6" s="9" t="str">
        <x:v>Revisar implementación, contratos y resultados de cada módulo</x:v>
      </x:c>
      <x:c r="C6" s="9" t="str">
        <x:v>Equipo</x:v>
      </x:c>
      <x:c r="D6" s="9" t="str">
        <x:v>Pendiente</x:v>
      </x:c>
    </x:row>
    <x:row r="7" ht="48" customHeight="1">
      <x:c r="A7" s="8" t="str">
        <x:v>PG-02</x:v>
      </x:c>
      <x:c r="B7" s="8" t="str">
        <x:v>Obtener sandbox y aceptar sincronización de precio</x:v>
      </x:c>
      <x:c r="C7" s="8" t="str">
        <x:v>Felipe / Equipo</x:v>
      </x:c>
      <x:c r="D7" s="8" t="str">
        <x:v>Pendiente</x:v>
      </x:c>
    </x:row>
    <x:row r="8" ht="48" customHeight="1">
      <x:c r="A8" s="9" t="str">
        <x:v>PG-03</x:v>
      </x:c>
      <x:c r="B8" s="9" t="str">
        <x:v>Configurar agenda de métricas y verificar despliegue autorizado</x:v>
      </x:c>
      <x:c r="C8" s="9" t="str">
        <x:v>Equipo</x:v>
      </x:c>
      <x:c r="D8" s="9" t="str">
        <x:v>Pendiente</x:v>
      </x:c>
    </x:row>
    <x:row r="9" ht="48" customHeight="1">
      <x:c r="A9" s="8" t="str">
        <x:v>PG-04</x:v>
      </x:c>
      <x:c r="B9" s="8" t="str">
        <x:v>Obtener URLs autorizadas de los servicios de negocio</x:v>
      </x:c>
      <x:c r="C9" s="8" t="str">
        <x:v>Equipo</x:v>
      </x:c>
      <x:c r="D9" s="8" t="str">
        <x:v>Pendiente</x:v>
      </x:c>
    </x:row>
    <x:row r="10" ht="48" customHeight="1">
      <x:c r="A10" s="9" t="str">
        <x:v>PG-05</x:v>
      </x:c>
      <x:c r="B10" s="9" t="str">
        <x:v>Ejecutar recepción en los computadores de los compañeros</x:v>
      </x:c>
      <x:c r="C10" s="9" t="str">
        <x:v>Equipo</x:v>
      </x:c>
      <x:c r="D10" s="9" t="str">
        <x:v>Pendiente</x:v>
      </x:c>
    </x:row>
    <x:row r="11" ht="48" customHeight="1">
      <x:c r="A11" s="8" t="str">
        <x:v>PG-06</x:v>
      </x:c>
      <x:c r="B11" s="8" t="str">
        <x:v>Completar reflexiones y confirmar competencias del informe</x:v>
      </x:c>
      <x:c r="C11" s="8" t="str">
        <x:v>Los tres integrantes</x:v>
      </x:c>
      <x:c r="D11" s="8" t="str">
        <x:v>Pendiente</x:v>
      </x:c>
    </x:row>
    <x:row r="12" ht="48" customHeight="1">
      <x:c r="A12" s="9" t="str">
        <x:v>PG-07</x:v>
      </x:c>
      <x:c r="B12" s="9" t="str">
        <x:v>Aprobar publicación y registrar entrega académica</x:v>
      </x:c>
      <x:c r="C12" s="9" t="str">
        <x:v>Equipo</x:v>
      </x:c>
      <x:c r="D12" s="9" t="str">
        <x:v>Pendiente</x:v>
      </x:c>
    </x:row>
    <x:row r="13">
      <x:c r="A13" s="1"/>
      <x:c r="B13" s="1"/>
      <x:c r="C13" s="1"/>
      <x:c r="D13" s="1"/>
    </x:row>
    <x:row r="14">
      <x:c r="A14" s="1"/>
      <x:c r="B14" s="1"/>
      <x:c r="C14" s="1"/>
      <x:c r="D14" s="1"/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